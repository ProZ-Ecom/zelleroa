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0 Rules" sheetId="2" state="visible" r:id="rId2"/>
    <sheet xmlns:r="http://schemas.openxmlformats.org/officeDocument/2006/relationships" name="1 Referral link  cookie capt" sheetId="3" state="visible" r:id="rId3"/>
    <sheet xmlns:r="http://schemas.openxmlformats.org/officeDocument/2006/relationships" name="2 Customer assignment (R1, R" sheetId="4" state="visible" r:id="rId4"/>
    <sheet xmlns:r="http://schemas.openxmlformats.org/officeDocument/2006/relationships" name="3 Admin transfer (R11)" sheetId="5" state="visible" r:id="rId5"/>
    <sheet xmlns:r="http://schemas.openxmlformats.org/officeDocument/2006/relationships" name="4 Agent customer list &amp; isol" sheetId="6" state="visible" r:id="rId6"/>
    <sheet xmlns:r="http://schemas.openxmlformats.org/officeDocument/2006/relationships" name="5 Agent-placed order (R9, R1" sheetId="7" state="visible" r:id="rId7"/>
    <sheet xmlns:r="http://schemas.openxmlformats.org/officeDocument/2006/relationships" name="6 Commission creation (R4)" sheetId="8" state="visible" r:id="rId8"/>
    <sheet xmlns:r="http://schemas.openxmlformats.org/officeDocument/2006/relationships" name="7 Commission lifecycle (R5, " sheetId="9" state="visible" r:id="rId9"/>
    <sheet xmlns:r="http://schemas.openxmlformats.org/officeDocument/2006/relationships" name="8 Payout (R7, R8)" sheetId="10" state="visible" r:id="rId10"/>
    <sheet xmlns:r="http://schemas.openxmlformats.org/officeDocument/2006/relationships" name="9 Agent profile, KYC &amp; bank " sheetId="11" state="visible" r:id="rId11"/>
    <sheet xmlns:r="http://schemas.openxmlformats.org/officeDocument/2006/relationships" name="10 Admin agent management" sheetId="12" state="visible" r:id="rId12"/>
    <sheet xmlns:r="http://schemas.openxmlformats.org/officeDocument/2006/relationships" name="11 Authorization matrix (API" sheetId="13" state="visible" r:id="rId13"/>
    <sheet xmlns:r="http://schemas.openxmlformats.org/officeDocument/2006/relationships" name="12 Agent dashboard &amp; lists" sheetId="14" state="visible" r:id="rId14"/>
    <sheet xmlns:r="http://schemas.openxmlformats.org/officeDocument/2006/relationships" name="13 End-to-end journeys (run " sheetId="15" state="visible" r:id="rId15"/>
    <sheet xmlns:r="http://schemas.openxmlformats.org/officeDocument/2006/relationships" name="14 Likely defects  decisions" sheetId="16" state="visible" r:id="rId16"/>
  </sheets>
  <definedNames>
    <definedName name="_xlnm._FilterDatabase" localSheetId="1" hidden="1">'0 Rules'!$A$1:$C$12</definedName>
    <definedName name="_xlnm._FilterDatabase" localSheetId="2" hidden="1">'1 Referral link  cookie capt'!$A$1:$I$14</definedName>
    <definedName name="_xlnm._FilterDatabase" localSheetId="3" hidden="1">'2 Customer assignment (R1, R'!$A$1:$I$17</definedName>
    <definedName name="_xlnm._FilterDatabase" localSheetId="4" hidden="1">'3 Admin transfer (R11)'!$A$1:$I$22</definedName>
    <definedName name="_xlnm._FilterDatabase" localSheetId="5" hidden="1">'4 Agent customer list &amp; isol'!$A$1:$H$11</definedName>
    <definedName name="_xlnm._FilterDatabase" localSheetId="6" hidden="1">'5 Agent-placed order (R9, R1'!$A$1:$H$48</definedName>
    <definedName name="_xlnm._FilterDatabase" localSheetId="7" hidden="1">'6 Commission creation (R4)'!$A$1:$H$20</definedName>
    <definedName name="_xlnm._FilterDatabase" localSheetId="8" hidden="1">'7 Commission lifecycle (R5, '!$A$1:$H$27</definedName>
    <definedName name="_xlnm._FilterDatabase" localSheetId="9" hidden="1">'8 Payout (R7, R8)'!$A$1:$H$30</definedName>
    <definedName name="_xlnm._FilterDatabase" localSheetId="10" hidden="1">'9 Agent profile, KYC &amp; bank '!$A$1:$H$12</definedName>
    <definedName name="_xlnm._FilterDatabase" localSheetId="11" hidden="1">'10 Admin agent management'!$A$1:$H$14</definedName>
    <definedName name="_xlnm._FilterDatabase" localSheetId="12" hidden="1">'11 Authorization matrix (API'!$A$1:$G$15</definedName>
    <definedName name="_xlnm._FilterDatabase" localSheetId="13" hidden="1">'12 Agent dashboard &amp; lists'!$A$1:$H$13</definedName>
    <definedName name="_xlnm._FilterDatabase" localSheetId="14" hidden="1">'13 End-to-end journeys (run '!$A$1:$F$10</definedName>
    <definedName name="_xlnm._FilterDatabase" localSheetId="15" hidden="1">'14 Likely defects  decisions'!$A$1:$D$13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4"/>
    </font>
    <font>
      <name val="Arial"/>
      <i val="1"/>
      <sz val="9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164" fontId="2" fillId="0" borderId="1" pivotButton="0" quotePrefix="0" xfId="0"/>
    <xf numFmtId="0" fontId="5" fillId="0" borderId="1" pivotButton="0" quotePrefix="0" xfId="0"/>
    <xf numFmtId="164" fontId="5" fillId="0" borderId="1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bgColor rgb="00C6EFCE"/>
        </patternFill>
      </fill>
    </dxf>
    <dxf>
      <fill>
        <patternFill patternType="solid">
          <bgColor rgb="00FFC7CE"/>
        </patternFill>
      </fill>
    </dxf>
    <dxf>
      <fill>
        <patternFill patternType="solid"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48" customWidth="1" min="1" max="1"/>
    <col width="28" customWidth="1" min="2" max="2"/>
    <col width="8" customWidth="1" min="3" max="3"/>
    <col width="9" customWidth="1" min="4" max="4"/>
    <col width="8" customWidth="1" min="5" max="5"/>
    <col width="8" customWidth="1" min="6" max="6"/>
    <col width="9" customWidth="1" min="7" max="7"/>
    <col width="8" customWidth="1" min="8" max="8"/>
    <col width="9" customWidth="1" min="9" max="9"/>
  </cols>
  <sheetData>
    <row r="1">
      <c r="A1" s="1" t="inlineStr">
        <is>
          <t>Agent (Sales Partner) Flow - Deep Test Cases: Execution Summary</t>
        </is>
      </c>
    </row>
    <row r="2">
      <c r="A2" s="2" t="inlineStr">
        <is>
          <t>Status counts are formulas over each section sheet's Status column. Update Status there; this page recalculates.</t>
        </is>
      </c>
    </row>
    <row r="4">
      <c r="A4" s="3" t="inlineStr">
        <is>
          <t>Section</t>
        </is>
      </c>
      <c r="B4" s="3" t="inlineStr">
        <is>
          <t>Sheet</t>
        </is>
      </c>
      <c r="C4" s="3" t="inlineStr">
        <is>
          <t>Total</t>
        </is>
      </c>
      <c r="D4" s="3" t="inlineStr">
        <is>
          <t>Not Run</t>
        </is>
      </c>
      <c r="E4" s="3" t="inlineStr">
        <is>
          <t>Pass</t>
        </is>
      </c>
      <c r="F4" s="3" t="inlineStr">
        <is>
          <t>Fail</t>
        </is>
      </c>
      <c r="G4" s="3" t="inlineStr">
        <is>
          <t>Blocked</t>
        </is>
      </c>
      <c r="H4" s="3" t="inlineStr">
        <is>
          <t>N/A</t>
        </is>
      </c>
      <c r="I4" s="3" t="inlineStr">
        <is>
          <t>% Pass</t>
        </is>
      </c>
    </row>
    <row r="5">
      <c r="A5" s="4" t="inlineStr">
        <is>
          <t>1. Referral link / cookie capture</t>
        </is>
      </c>
      <c r="B5" s="4" t="inlineStr">
        <is>
          <t>1 Referral link  cookie capt</t>
        </is>
      </c>
      <c r="C5" s="4">
        <f>COUNTA('1 Referral link  cookie capt'!$A$2:$A$14)</f>
        <v/>
      </c>
      <c r="D5" s="4">
        <f>COUNTIF('1 Referral link  cookie capt'!$F$2:$F$14,"Not Run")</f>
        <v/>
      </c>
      <c r="E5" s="4">
        <f>COUNTIF('1 Referral link  cookie capt'!$F$2:$F$14,"Pass")</f>
        <v/>
      </c>
      <c r="F5" s="4">
        <f>COUNTIF('1 Referral link  cookie capt'!$F$2:$F$14,"Fail")</f>
        <v/>
      </c>
      <c r="G5" s="4">
        <f>COUNTIF('1 Referral link  cookie capt'!$F$2:$F$14,"Blocked")</f>
        <v/>
      </c>
      <c r="H5" s="4">
        <f>COUNTIF('1 Referral link  cookie capt'!$F$2:$F$14,"N/A")</f>
        <v/>
      </c>
      <c r="I5" s="5">
        <f>IF(C5-H5=0,0,E5/(C5-H5))</f>
        <v/>
      </c>
    </row>
    <row r="6">
      <c r="A6" s="4" t="inlineStr">
        <is>
          <t>2. Customer assignment (R1, R2, R3)</t>
        </is>
      </c>
      <c r="B6" s="4" t="inlineStr">
        <is>
          <t>2 Customer assignment (R1, R</t>
        </is>
      </c>
      <c r="C6" s="4">
        <f>COUNTA('2 Customer assignment (R1, R'!$A$2:$A$17)</f>
        <v/>
      </c>
      <c r="D6" s="4">
        <f>COUNTIF('2 Customer assignment (R1, R'!$F$2:$F$17,"Not Run")</f>
        <v/>
      </c>
      <c r="E6" s="4">
        <f>COUNTIF('2 Customer assignment (R1, R'!$F$2:$F$17,"Pass")</f>
        <v/>
      </c>
      <c r="F6" s="4">
        <f>COUNTIF('2 Customer assignment (R1, R'!$F$2:$F$17,"Fail")</f>
        <v/>
      </c>
      <c r="G6" s="4">
        <f>COUNTIF('2 Customer assignment (R1, R'!$F$2:$F$17,"Blocked")</f>
        <v/>
      </c>
      <c r="H6" s="4">
        <f>COUNTIF('2 Customer assignment (R1, R'!$F$2:$F$17,"N/A")</f>
        <v/>
      </c>
      <c r="I6" s="5">
        <f>IF(C6-H6=0,0,E6/(C6-H6))</f>
        <v/>
      </c>
    </row>
    <row r="7">
      <c r="A7" s="4" t="inlineStr">
        <is>
          <t>3. Admin transfer (R11)</t>
        </is>
      </c>
      <c r="B7" s="4" t="inlineStr">
        <is>
          <t>3 Admin transfer (R11)</t>
        </is>
      </c>
      <c r="C7" s="4">
        <f>COUNTA('3 Admin transfer (R11)'!$A$2:$A$22)</f>
        <v/>
      </c>
      <c r="D7" s="4">
        <f>COUNTIF('3 Admin transfer (R11)'!$F$2:$F$22,"Not Run")</f>
        <v/>
      </c>
      <c r="E7" s="4">
        <f>COUNTIF('3 Admin transfer (R11)'!$F$2:$F$22,"Pass")</f>
        <v/>
      </c>
      <c r="F7" s="4">
        <f>COUNTIF('3 Admin transfer (R11)'!$F$2:$F$22,"Fail")</f>
        <v/>
      </c>
      <c r="G7" s="4">
        <f>COUNTIF('3 Admin transfer (R11)'!$F$2:$F$22,"Blocked")</f>
        <v/>
      </c>
      <c r="H7" s="4">
        <f>COUNTIF('3 Admin transfer (R11)'!$F$2:$F$22,"N/A")</f>
        <v/>
      </c>
      <c r="I7" s="5">
        <f>IF(C7-H7=0,0,E7/(C7-H7))</f>
        <v/>
      </c>
    </row>
    <row r="8">
      <c r="A8" s="4" t="inlineStr">
        <is>
          <t>4. Agent customer list &amp; isolation</t>
        </is>
      </c>
      <c r="B8" s="4" t="inlineStr">
        <is>
          <t>4 Agent customer list &amp; isol</t>
        </is>
      </c>
      <c r="C8" s="4">
        <f>COUNTA('4 Agent customer list &amp; isol'!$A$2:$A$11)</f>
        <v/>
      </c>
      <c r="D8" s="4">
        <f>COUNTIF('4 Agent customer list &amp; isol'!$E$2:$E$11,"Not Run")</f>
        <v/>
      </c>
      <c r="E8" s="4">
        <f>COUNTIF('4 Agent customer list &amp; isol'!$E$2:$E$11,"Pass")</f>
        <v/>
      </c>
      <c r="F8" s="4">
        <f>COUNTIF('4 Agent customer list &amp; isol'!$E$2:$E$11,"Fail")</f>
        <v/>
      </c>
      <c r="G8" s="4">
        <f>COUNTIF('4 Agent customer list &amp; isol'!$E$2:$E$11,"Blocked")</f>
        <v/>
      </c>
      <c r="H8" s="4">
        <f>COUNTIF('4 Agent customer list &amp; isol'!$E$2:$E$11,"N/A")</f>
        <v/>
      </c>
      <c r="I8" s="5">
        <f>IF(C8-H8=0,0,E8/(C8-H8))</f>
        <v/>
      </c>
    </row>
    <row r="9">
      <c r="A9" s="4" t="inlineStr">
        <is>
          <t>5. Agent-placed order (R9, R10)</t>
        </is>
      </c>
      <c r="B9" s="4" t="inlineStr">
        <is>
          <t>5 Agent-placed order (R9, R1</t>
        </is>
      </c>
      <c r="C9" s="4">
        <f>COUNTA('5 Agent-placed order (R9, R1'!$A$2:$A$48)</f>
        <v/>
      </c>
      <c r="D9" s="4">
        <f>COUNTIF('5 Agent-placed order (R9, R1'!$E$2:$E$48,"Not Run")</f>
        <v/>
      </c>
      <c r="E9" s="4">
        <f>COUNTIF('5 Agent-placed order (R9, R1'!$E$2:$E$48,"Pass")</f>
        <v/>
      </c>
      <c r="F9" s="4">
        <f>COUNTIF('5 Agent-placed order (R9, R1'!$E$2:$E$48,"Fail")</f>
        <v/>
      </c>
      <c r="G9" s="4">
        <f>COUNTIF('5 Agent-placed order (R9, R1'!$E$2:$E$48,"Blocked")</f>
        <v/>
      </c>
      <c r="H9" s="4">
        <f>COUNTIF('5 Agent-placed order (R9, R1'!$E$2:$E$48,"N/A")</f>
        <v/>
      </c>
      <c r="I9" s="5">
        <f>IF(C9-H9=0,0,E9/(C9-H9))</f>
        <v/>
      </c>
    </row>
    <row r="10">
      <c r="A10" s="4" t="inlineStr">
        <is>
          <t>6. Commission creation (R4)</t>
        </is>
      </c>
      <c r="B10" s="4" t="inlineStr">
        <is>
          <t>6 Commission creation (R4)</t>
        </is>
      </c>
      <c r="C10" s="4">
        <f>COUNTA('6 Commission creation (R4)'!$A$2:$A$20)</f>
        <v/>
      </c>
      <c r="D10" s="4">
        <f>COUNTIF('6 Commission creation (R4)'!$E$2:$E$20,"Not Run")</f>
        <v/>
      </c>
      <c r="E10" s="4">
        <f>COUNTIF('6 Commission creation (R4)'!$E$2:$E$20,"Pass")</f>
        <v/>
      </c>
      <c r="F10" s="4">
        <f>COUNTIF('6 Commission creation (R4)'!$E$2:$E$20,"Fail")</f>
        <v/>
      </c>
      <c r="G10" s="4">
        <f>COUNTIF('6 Commission creation (R4)'!$E$2:$E$20,"Blocked")</f>
        <v/>
      </c>
      <c r="H10" s="4">
        <f>COUNTIF('6 Commission creation (R4)'!$E$2:$E$20,"N/A")</f>
        <v/>
      </c>
      <c r="I10" s="5">
        <f>IF(C10-H10=0,0,E10/(C10-H10))</f>
        <v/>
      </c>
    </row>
    <row r="11">
      <c r="A11" s="4" t="inlineStr">
        <is>
          <t>7. Commission lifecycle (R5, R6)</t>
        </is>
      </c>
      <c r="B11" s="4" t="inlineStr">
        <is>
          <t xml:space="preserve">7 Commission lifecycle (R5, </t>
        </is>
      </c>
      <c r="C11" s="4">
        <f>COUNTA('7 Commission lifecycle (R5, '!$A$2:$A$27)</f>
        <v/>
      </c>
      <c r="D11" s="4">
        <f>COUNTIF('7 Commission lifecycle (R5, '!$E$2:$E$27,"Not Run")</f>
        <v/>
      </c>
      <c r="E11" s="4">
        <f>COUNTIF('7 Commission lifecycle (R5, '!$E$2:$E$27,"Pass")</f>
        <v/>
      </c>
      <c r="F11" s="4">
        <f>COUNTIF('7 Commission lifecycle (R5, '!$E$2:$E$27,"Fail")</f>
        <v/>
      </c>
      <c r="G11" s="4">
        <f>COUNTIF('7 Commission lifecycle (R5, '!$E$2:$E$27,"Blocked")</f>
        <v/>
      </c>
      <c r="H11" s="4">
        <f>COUNTIF('7 Commission lifecycle (R5, '!$E$2:$E$27,"N/A")</f>
        <v/>
      </c>
      <c r="I11" s="5">
        <f>IF(C11-H11=0,0,E11/(C11-H11))</f>
        <v/>
      </c>
    </row>
    <row r="12">
      <c r="A12" s="4" t="inlineStr">
        <is>
          <t>8. Payout (R7, R8)</t>
        </is>
      </c>
      <c r="B12" s="4" t="inlineStr">
        <is>
          <t>8 Payout (R7, R8)</t>
        </is>
      </c>
      <c r="C12" s="4">
        <f>COUNTA('8 Payout (R7, R8)'!$A$2:$A$30)</f>
        <v/>
      </c>
      <c r="D12" s="4">
        <f>COUNTIF('8 Payout (R7, R8)'!$E$2:$E$30,"Not Run")</f>
        <v/>
      </c>
      <c r="E12" s="4">
        <f>COUNTIF('8 Payout (R7, R8)'!$E$2:$E$30,"Pass")</f>
        <v/>
      </c>
      <c r="F12" s="4">
        <f>COUNTIF('8 Payout (R7, R8)'!$E$2:$E$30,"Fail")</f>
        <v/>
      </c>
      <c r="G12" s="4">
        <f>COUNTIF('8 Payout (R7, R8)'!$E$2:$E$30,"Blocked")</f>
        <v/>
      </c>
      <c r="H12" s="4">
        <f>COUNTIF('8 Payout (R7, R8)'!$E$2:$E$30,"N/A")</f>
        <v/>
      </c>
      <c r="I12" s="5">
        <f>IF(C12-H12=0,0,E12/(C12-H12))</f>
        <v/>
      </c>
    </row>
    <row r="13">
      <c r="A13" s="4" t="inlineStr">
        <is>
          <t>9. Agent profile, KYC &amp; bank (touchpoints with payout)</t>
        </is>
      </c>
      <c r="B13" s="4" t="inlineStr">
        <is>
          <t xml:space="preserve">9 Agent profile, KYC &amp; bank </t>
        </is>
      </c>
      <c r="C13" s="4">
        <f>COUNTA('9 Agent profile, KYC &amp; bank '!$A$2:$A$12)</f>
        <v/>
      </c>
      <c r="D13" s="4">
        <f>COUNTIF('9 Agent profile, KYC &amp; bank '!$E$2:$E$12,"Not Run")</f>
        <v/>
      </c>
      <c r="E13" s="4">
        <f>COUNTIF('9 Agent profile, KYC &amp; bank '!$E$2:$E$12,"Pass")</f>
        <v/>
      </c>
      <c r="F13" s="4">
        <f>COUNTIF('9 Agent profile, KYC &amp; bank '!$E$2:$E$12,"Fail")</f>
        <v/>
      </c>
      <c r="G13" s="4">
        <f>COUNTIF('9 Agent profile, KYC &amp; bank '!$E$2:$E$12,"Blocked")</f>
        <v/>
      </c>
      <c r="H13" s="4">
        <f>COUNTIF('9 Agent profile, KYC &amp; bank '!$E$2:$E$12,"N/A")</f>
        <v/>
      </c>
      <c r="I13" s="5">
        <f>IF(C13-H13=0,0,E13/(C13-H13))</f>
        <v/>
      </c>
    </row>
    <row r="14">
      <c r="A14" s="4" t="inlineStr">
        <is>
          <t>10. Admin agent management</t>
        </is>
      </c>
      <c r="B14" s="4" t="inlineStr">
        <is>
          <t>10 Admin agent management</t>
        </is>
      </c>
      <c r="C14" s="4">
        <f>COUNTA('10 Admin agent management'!$A$2:$A$14)</f>
        <v/>
      </c>
      <c r="D14" s="4">
        <f>COUNTIF('10 Admin agent management'!$E$2:$E$14,"Not Run")</f>
        <v/>
      </c>
      <c r="E14" s="4">
        <f>COUNTIF('10 Admin agent management'!$E$2:$E$14,"Pass")</f>
        <v/>
      </c>
      <c r="F14" s="4">
        <f>COUNTIF('10 Admin agent management'!$E$2:$E$14,"Fail")</f>
        <v/>
      </c>
      <c r="G14" s="4">
        <f>COUNTIF('10 Admin agent management'!$E$2:$E$14,"Blocked")</f>
        <v/>
      </c>
      <c r="H14" s="4">
        <f>COUNTIF('10 Admin agent management'!$E$2:$E$14,"N/A")</f>
        <v/>
      </c>
      <c r="I14" s="5">
        <f>IF(C14-H14=0,0,E14/(C14-H14))</f>
        <v/>
      </c>
    </row>
    <row r="15">
      <c r="A15" s="4" t="inlineStr">
        <is>
          <t>11. Authorization matrix (API)</t>
        </is>
      </c>
      <c r="B15" s="4" t="inlineStr">
        <is>
          <t>11 Authorization matrix (API</t>
        </is>
      </c>
      <c r="C15" s="4">
        <f>COUNTA('11 Authorization matrix (API'!$A$2:$A$15)</f>
        <v/>
      </c>
      <c r="D15" s="4">
        <f>COUNTIF('11 Authorization matrix (API'!$D$2:$D$15,"Not Run")</f>
        <v/>
      </c>
      <c r="E15" s="4">
        <f>COUNTIF('11 Authorization matrix (API'!$D$2:$D$15,"Pass")</f>
        <v/>
      </c>
      <c r="F15" s="4">
        <f>COUNTIF('11 Authorization matrix (API'!$D$2:$D$15,"Fail")</f>
        <v/>
      </c>
      <c r="G15" s="4">
        <f>COUNTIF('11 Authorization matrix (API'!$D$2:$D$15,"Blocked")</f>
        <v/>
      </c>
      <c r="H15" s="4">
        <f>COUNTIF('11 Authorization matrix (API'!$D$2:$D$15,"N/A")</f>
        <v/>
      </c>
      <c r="I15" s="5">
        <f>IF(C15-H15=0,0,E15/(C15-H15))</f>
        <v/>
      </c>
    </row>
    <row r="16">
      <c r="A16" s="4" t="inlineStr">
        <is>
          <t>12. Agent dashboard &amp; lists</t>
        </is>
      </c>
      <c r="B16" s="4" t="inlineStr">
        <is>
          <t>12 Agent dashboard &amp; lists</t>
        </is>
      </c>
      <c r="C16" s="4">
        <f>COUNTA('12 Agent dashboard &amp; lists'!$A$2:$A$13)</f>
        <v/>
      </c>
      <c r="D16" s="4">
        <f>COUNTIF('12 Agent dashboard &amp; lists'!$E$2:$E$13,"Not Run")</f>
        <v/>
      </c>
      <c r="E16" s="4">
        <f>COUNTIF('12 Agent dashboard &amp; lists'!$E$2:$E$13,"Pass")</f>
        <v/>
      </c>
      <c r="F16" s="4">
        <f>COUNTIF('12 Agent dashboard &amp; lists'!$E$2:$E$13,"Fail")</f>
        <v/>
      </c>
      <c r="G16" s="4">
        <f>COUNTIF('12 Agent dashboard &amp; lists'!$E$2:$E$13,"Blocked")</f>
        <v/>
      </c>
      <c r="H16" s="4">
        <f>COUNTIF('12 Agent dashboard &amp; lists'!$E$2:$E$13,"N/A")</f>
        <v/>
      </c>
      <c r="I16" s="5">
        <f>IF(C16-H16=0,0,E16/(C16-H16))</f>
        <v/>
      </c>
    </row>
    <row r="17">
      <c r="A17" s="4" t="inlineStr">
        <is>
          <t>13. End-to-end journeys (run in this order on a clean DB)</t>
        </is>
      </c>
      <c r="B17" s="4" t="inlineStr">
        <is>
          <t xml:space="preserve">13 End-to-end journeys (run </t>
        </is>
      </c>
      <c r="C17" s="4">
        <f>COUNTA('13 End-to-end journeys (run '!$A$2:$A$10)</f>
        <v/>
      </c>
      <c r="D17" s="4">
        <f>COUNTIF('13 End-to-end journeys (run '!$C$2:$C$10,"Not Run")</f>
        <v/>
      </c>
      <c r="E17" s="4">
        <f>COUNTIF('13 End-to-end journeys (run '!$C$2:$C$10,"Pass")</f>
        <v/>
      </c>
      <c r="F17" s="4">
        <f>COUNTIF('13 End-to-end journeys (run '!$C$2:$C$10,"Fail")</f>
        <v/>
      </c>
      <c r="G17" s="4">
        <f>COUNTIF('13 End-to-end journeys (run '!$C$2:$C$10,"Blocked")</f>
        <v/>
      </c>
      <c r="H17" s="4">
        <f>COUNTIF('13 End-to-end journeys (run '!$C$2:$C$10,"N/A")</f>
        <v/>
      </c>
      <c r="I17" s="5">
        <f>IF(C17-H17=0,0,E17/(C17-H17))</f>
        <v/>
      </c>
    </row>
    <row r="18">
      <c r="A18" s="6" t="inlineStr">
        <is>
          <t>TOTAL</t>
        </is>
      </c>
      <c r="B18" s="6" t="n"/>
      <c r="C18" s="6">
        <f>SUM(C5:C17)</f>
        <v/>
      </c>
      <c r="D18" s="6">
        <f>SUM(D5:D17)</f>
        <v/>
      </c>
      <c r="E18" s="6">
        <f>SUM(E5:E17)</f>
        <v/>
      </c>
      <c r="F18" s="6">
        <f>SUM(F5:F17)</f>
        <v/>
      </c>
      <c r="G18" s="6">
        <f>SUM(G5:G17)</f>
        <v/>
      </c>
      <c r="H18" s="6">
        <f>SUM(H5:H17)</f>
        <v/>
      </c>
      <c r="I18" s="7">
        <f>IF(C18-H18=0,0,E18/(C18-H18))</f>
        <v/>
      </c>
    </row>
    <row r="20">
      <c r="A20" s="2" t="inlineStr">
        <is>
          <t>Priority: P0 = money / data ownership, P1 = core flow, P2 = edge / UX. Source: docs/agent-flow-deep-test-cases.md (derived from current code).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48" customWidth="1" min="3" max="3"/>
  </cols>
  <sheetData>
    <row r="1">
      <c r="A1" s="8" t="inlineStr">
        <is>
          <t>#</t>
        </is>
      </c>
      <c r="B1" s="8" t="inlineStr">
        <is>
          <t>Rule</t>
        </is>
      </c>
      <c r="C1" s="8" t="inlineStr">
        <is>
          <t>Source</t>
        </is>
      </c>
    </row>
    <row r="2">
      <c r="A2" s="9" t="inlineStr">
        <is>
          <t>R1</t>
        </is>
      </c>
      <c r="B2" s="9" t="inlineStr">
        <is>
          <t>A customer has ONE current_agent_id. Referral code only fills an empty slot; a different code never changes it. Only admin transfer moves it.</t>
        </is>
      </c>
      <c r="C2" s="9" t="inlineStr">
        <is>
          <t>customer-assignment.service.ts</t>
        </is>
      </c>
    </row>
    <row r="3">
      <c r="A3" s="9" t="inlineStr">
        <is>
          <t>R2</t>
        </is>
      </c>
      <c r="B3" s="9" t="inlineStr">
        <is>
          <t>Order attribution is frozen at order creation: customer-with-agent → CUSTOMER_DIRECT + that agent; agent buying for self → AGENT_OWN (earns commission); agent placing for customer → AGENT_PLACED_FOR_CUSTOMER.</t>
        </is>
      </c>
      <c r="C3" s="9" t="inlineStr">
        <is>
          <t>resolveOrderAttribution, agent-order.service.ts</t>
        </is>
      </c>
    </row>
    <row r="4">
      <c r="A4" s="9" t="inlineStr">
        <is>
          <t>R3</t>
        </is>
      </c>
      <c r="B4" s="9" t="inlineStr">
        <is>
          <t>Inactive/deleted agent is not credited (order gets no agent) – but customer's current_agent_id is NOT cleared.</t>
        </is>
      </c>
      <c r="C4" s="9" t="inlineStr">
        <is>
          <t>resolveOrderAttribution</t>
        </is>
      </c>
    </row>
    <row r="5">
      <c r="A5" s="9" t="inlineStr">
        <is>
          <t>R4</t>
        </is>
      </c>
      <c r="B5" s="9" t="inlineStr">
        <is>
          <t>Commission per order item on total_price (after item offers, excl. shipping). Rate: product → category (walk up parents) → global → 0 (no row). Rate ≤ 0 or item amount ≤ 0 ⇒ no commission row. % and amount frozen.</t>
        </is>
      </c>
      <c r="C5" s="9" t="inlineStr">
        <is>
          <t>commission.service.ts</t>
        </is>
      </c>
    </row>
    <row r="6">
      <c r="A6" s="9" t="inlineStr">
        <is>
          <t>R5</t>
        </is>
      </c>
      <c r="B6" s="9" t="inlineStr">
        <is>
          <t>delivered starts return period (setting, default 3 days). Approval is lazy (on read / payout request / admin "approve eligible"), batch of 500.</t>
        </is>
      </c>
      <c r="C6" s="9" t="inlineStr">
        <is>
          <t>approveEligible</t>
        </is>
      </c>
    </row>
    <row r="7">
      <c r="A7" s="9" t="inlineStr">
        <is>
          <t>R6</t>
        </is>
      </c>
      <c r="B7" s="9" t="inlineStr">
        <is>
          <t>cancelled: pending → cancelled; approved/in-payout → reversed. returned → always reversed. Paid + reversed → clawback_due=true. In-payout reversed commission is pulled out, payout amount recalculated; if 0 → payout cancelled.</t>
        </is>
      </c>
      <c r="C7" s="9" t="inlineStr">
        <is>
          <t>voidCommissions</t>
        </is>
      </c>
    </row>
    <row r="8">
      <c r="A8" s="9" t="inlineStr">
        <is>
          <t>R7</t>
        </is>
      </c>
      <c r="B8" s="9" t="inlineStr">
        <is>
          <t>Payout takes all approved un-requested commissions. Method must be upi/bank_transfer with saved profile data (snapshotted on payout).</t>
        </is>
      </c>
      <c r="C8" s="9" t="inlineStr">
        <is>
          <t>payout.service.ts</t>
        </is>
      </c>
    </row>
    <row r="9">
      <c r="A9" s="9" t="inlineStr">
        <is>
          <t>R8</t>
        </is>
      </c>
      <c r="B9" s="9" t="inlineStr">
        <is>
          <t>Payout transitions: requested→approved→paid; reject allowed from requested/approved (commissions back to approved); paid cannot be rejected.</t>
        </is>
      </c>
      <c r="C9" s="9" t="inlineStr">
        <is>
          <t>payout.service.ts</t>
        </is>
      </c>
    </row>
    <row r="10">
      <c r="A10" s="9" t="inlineStr">
        <is>
          <t>R9</t>
        </is>
      </c>
      <c r="B10" s="9" t="inlineStr">
        <is>
          <t>Agent-placed order: payment = COD, pending, status = confirmed. Price/stock/offers from DB, never from payload. Duplicate lines for same SKU are merged.</t>
        </is>
      </c>
      <c r="C10" s="9" t="inlineStr">
        <is>
          <t>agent-order.service.ts</t>
        </is>
      </c>
    </row>
    <row r="11">
      <c r="A11" s="9" t="inlineStr">
        <is>
          <t>R10</t>
        </is>
      </c>
      <c r="B11" s="9" t="inlineStr">
        <is>
          <t>Agent-placed order input: exactly one of customerId / manualCustomer. Qty 1–999, max 50 lines, notes ≤ 500.</t>
        </is>
      </c>
      <c r="C11" s="9" t="inlineStr">
        <is>
          <t>agent-order.schema.ts</t>
        </is>
      </c>
    </row>
    <row r="12">
      <c r="A12" s="9" t="inlineStr">
        <is>
          <t>R11</t>
        </is>
      </c>
      <c r="B12" s="9" t="inlineStr">
        <is>
          <t>Transfer: admin only; destination must be active agent; stale fromAgentRef ⇒ 409; same agent ⇒ 400; history never deleted.</t>
        </is>
      </c>
      <c r="C12" s="9" t="inlineStr">
        <is>
          <t>transferCustomer</t>
        </is>
      </c>
    </row>
  </sheetData>
  <autoFilter ref="A1:C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6" customWidth="1" min="2" max="2"/>
    <col width="48" customWidth="1" min="3" max="3"/>
    <col width="48" customWidth="1" min="4" max="4"/>
    <col width="48" customWidth="1" min="5" max="5"/>
    <col width="11" customWidth="1" min="6" max="6"/>
    <col width="12" customWidth="1" min="7" max="7"/>
    <col width="12" customWidth="1" min="8" max="8"/>
    <col width="28" customWidth="1" min="9" max="9"/>
  </cols>
  <sheetData>
    <row r="1">
      <c r="A1" s="8" t="inlineStr">
        <is>
          <t>ID</t>
        </is>
      </c>
      <c r="B1" s="8" t="inlineStr">
        <is>
          <t>P</t>
        </is>
      </c>
      <c r="C1" s="8" t="inlineStr">
        <is>
          <t>Scenario</t>
        </is>
      </c>
      <c r="D1" s="8" t="inlineStr">
        <is>
          <t>Steps</t>
        </is>
      </c>
      <c r="E1" s="8" t="inlineStr">
        <is>
          <t>Expected</t>
        </is>
      </c>
      <c r="F1" s="8" t="inlineStr">
        <is>
          <t>Status</t>
        </is>
      </c>
      <c r="G1" s="8" t="inlineStr">
        <is>
          <t>Tester</t>
        </is>
      </c>
      <c r="H1" s="8" t="inlineStr">
        <is>
          <t>Date</t>
        </is>
      </c>
      <c r="I1" s="8" t="inlineStr">
        <is>
          <t>Remarks</t>
        </is>
      </c>
    </row>
    <row r="2">
      <c r="A2" s="9" t="inlineStr">
        <is>
          <t>AF-001</t>
        </is>
      </c>
      <c r="B2" s="9" t="inlineStr">
        <is>
          <t>P0</t>
        </is>
      </c>
      <c r="C2" s="9" t="inlineStr">
        <is>
          <t>Valid link on home</t>
        </is>
      </c>
      <c r="D2" s="9" t="inlineStr">
        <is>
          <t>Open /?ref=AGT001 (incognito)</t>
        </is>
      </c>
      <c r="E2" s="9" t="inlineStr">
        <is>
          <t>Cookie referral_agent set (HttpOnly, SameSite=Lax, ~30d)</t>
        </is>
      </c>
      <c r="F2" s="9" t="inlineStr">
        <is>
          <t>Not Run</t>
        </is>
      </c>
      <c r="G2" s="9" t="inlineStr"/>
      <c r="H2" s="9" t="inlineStr"/>
      <c r="I2" s="9" t="inlineStr"/>
    </row>
    <row r="3">
      <c r="A3" s="9" t="inlineStr">
        <is>
          <t>AF-002</t>
        </is>
      </c>
      <c r="B3" s="9" t="inlineStr">
        <is>
          <t>P1</t>
        </is>
      </c>
      <c r="C3" s="9" t="inlineStr">
        <is>
          <t>Valid link on deep page</t>
        </is>
      </c>
      <c r="D3" s="9" t="inlineStr">
        <is>
          <t>/products/xyz?ref=AGT001</t>
        </is>
      </c>
      <c r="E3" s="9" t="inlineStr">
        <is>
          <t>Cookie set; page loads normally</t>
        </is>
      </c>
      <c r="F3" s="9" t="inlineStr">
        <is>
          <t>Not Run</t>
        </is>
      </c>
      <c r="G3" s="9" t="inlineStr"/>
      <c r="H3" s="9" t="inlineStr"/>
      <c r="I3" s="9" t="inlineStr"/>
    </row>
    <row r="4">
      <c r="A4" s="9" t="inlineStr">
        <is>
          <t>AF-003</t>
        </is>
      </c>
      <c r="B4" s="9" t="inlineStr">
        <is>
          <t>P1</t>
        </is>
      </c>
      <c r="C4" s="9" t="inlineStr">
        <is>
          <t>/ref/AGT001 short path</t>
        </is>
      </c>
      <c r="D4" s="9" t="inlineStr">
        <is>
          <t>Open it</t>
        </is>
      </c>
      <c r="E4" s="9" t="inlineStr">
        <is>
          <t>Redirects, cookie set</t>
        </is>
      </c>
      <c r="F4" s="9" t="inlineStr">
        <is>
          <t>Not Run</t>
        </is>
      </c>
      <c r="G4" s="9" t="inlineStr"/>
      <c r="H4" s="9" t="inlineStr"/>
      <c r="I4" s="9" t="inlineStr"/>
    </row>
    <row r="5">
      <c r="A5" s="9" t="inlineStr">
        <is>
          <t>AF-004</t>
        </is>
      </c>
      <c r="B5" s="9" t="inlineStr">
        <is>
          <t>P1</t>
        </is>
      </c>
      <c r="C5" s="9" t="inlineStr">
        <is>
          <t>Lowercase code ?ref=agt001</t>
        </is>
      </c>
      <c r="D5" s="9" t="inlineStr">
        <is>
          <t>Open</t>
        </is>
      </c>
      <c r="E5" s="9" t="inlineStr">
        <is>
          <t>Check: matches or not – document actual behaviour (DB collation)</t>
        </is>
      </c>
      <c r="F5" s="9" t="inlineStr">
        <is>
          <t>Not Run</t>
        </is>
      </c>
      <c r="G5" s="9" t="inlineStr"/>
      <c r="H5" s="9" t="inlineStr"/>
      <c r="I5" s="9" t="inlineStr"/>
    </row>
    <row r="6">
      <c r="A6" s="9" t="inlineStr">
        <is>
          <t>AF-005</t>
        </is>
      </c>
      <c r="B6" s="9" t="inlineStr">
        <is>
          <t>P1</t>
        </is>
      </c>
      <c r="C6" s="9" t="inlineStr">
        <is>
          <t>Invalid format ?ref=a , ?ref=&lt;script&gt;, ?ref=A B, 31 chars</t>
        </is>
      </c>
      <c r="D6" s="9" t="inlineStr">
        <is>
          <t>Open each</t>
        </is>
      </c>
      <c r="E6" s="9" t="inlineStr">
        <is>
          <t>No cookie stored, no error shown</t>
        </is>
      </c>
      <c r="F6" s="9" t="inlineStr">
        <is>
          <t>Not Run</t>
        </is>
      </c>
      <c r="G6" s="9" t="inlineStr"/>
      <c r="H6" s="9" t="inlineStr"/>
      <c r="I6" s="9" t="inlineStr"/>
    </row>
    <row r="7">
      <c r="A7" s="9" t="inlineStr">
        <is>
          <t>AF-006</t>
        </is>
      </c>
      <c r="B7" s="9" t="inlineStr">
        <is>
          <t>P1</t>
        </is>
      </c>
      <c r="C7" s="9" t="inlineStr">
        <is>
          <t>Valid format but nonexistent code ?ref=ZZZ999</t>
        </is>
      </c>
      <c r="D7" s="9" t="inlineStr">
        <is>
          <t>Open; call GET /api/referral/validate?code=ZZZ999</t>
        </is>
      </c>
      <c r="E7" s="9" t="inlineStr">
        <is>
          <t>Cookie may store; validate returns invalid; no assignment later</t>
        </is>
      </c>
      <c r="F7" s="9" t="inlineStr">
        <is>
          <t>Not Run</t>
        </is>
      </c>
      <c r="G7" s="9" t="inlineStr"/>
      <c r="H7" s="9" t="inlineStr"/>
      <c r="I7" s="9" t="inlineStr"/>
    </row>
    <row r="8">
      <c r="A8" s="9" t="inlineStr">
        <is>
          <t>AF-007</t>
        </is>
      </c>
      <c r="B8" s="9" t="inlineStr">
        <is>
          <t>P1</t>
        </is>
      </c>
      <c r="C8" s="9" t="inlineStr">
        <is>
          <t>Inactive agent code</t>
        </is>
      </c>
      <c r="D8" s="9" t="inlineStr">
        <is>
          <t>Deactivate agent, open link, register</t>
        </is>
      </c>
      <c r="E8" s="9" t="inlineStr">
        <is>
          <t>Customer not assigned</t>
        </is>
      </c>
      <c r="F8" s="9" t="inlineStr">
        <is>
          <t>Not Run</t>
        </is>
      </c>
      <c r="G8" s="9" t="inlineStr"/>
      <c r="H8" s="9" t="inlineStr"/>
      <c r="I8" s="9" t="inlineStr"/>
    </row>
    <row r="9">
      <c r="A9" s="9" t="inlineStr">
        <is>
          <t>AF-008</t>
        </is>
      </c>
      <c r="B9" s="9" t="inlineStr">
        <is>
          <t>P1</t>
        </is>
      </c>
      <c r="C9" s="9" t="inlineStr">
        <is>
          <t>Last link wins in cookie</t>
        </is>
      </c>
      <c r="D9" s="9" t="inlineStr">
        <is>
          <t>Open A link, then B link</t>
        </is>
      </c>
      <c r="E9" s="9" t="inlineStr">
        <is>
          <t>Cookie = B</t>
        </is>
      </c>
      <c r="F9" s="9" t="inlineStr">
        <is>
          <t>Not Run</t>
        </is>
      </c>
      <c r="G9" s="9" t="inlineStr"/>
      <c r="H9" s="9" t="inlineStr"/>
      <c r="I9" s="9" t="inlineStr"/>
    </row>
    <row r="10">
      <c r="A10" s="9" t="inlineStr">
        <is>
          <t>AF-009</t>
        </is>
      </c>
      <c r="B10" s="9" t="inlineStr">
        <is>
          <t>P1</t>
        </is>
      </c>
      <c r="C10" s="9" t="inlineStr">
        <is>
          <t>GET /api/referral/current</t>
        </is>
      </c>
      <c r="D10" s="9" t="inlineStr">
        <is>
          <t>With / without cookie</t>
        </is>
      </c>
      <c r="E10" s="9" t="inlineStr">
        <is>
          <t>Returns agent name for valid, empty for none; no sensitive data (no email/phone)</t>
        </is>
      </c>
      <c r="F10" s="9" t="inlineStr">
        <is>
          <t>Not Run</t>
        </is>
      </c>
      <c r="G10" s="9" t="inlineStr"/>
      <c r="H10" s="9" t="inlineStr"/>
      <c r="I10" s="9" t="inlineStr"/>
    </row>
    <row r="11">
      <c r="A11" s="9" t="inlineStr">
        <is>
          <t>AF-010</t>
        </is>
      </c>
      <c r="B11" s="9" t="inlineStr">
        <is>
          <t>P1</t>
        </is>
      </c>
      <c r="C11" s="9" t="inlineStr">
        <is>
          <t>Applied-referral banner</t>
        </is>
      </c>
      <c r="D11" s="9" t="inlineStr">
        <is>
          <t>Open link</t>
        </is>
      </c>
      <c r="E11" s="9" t="inlineStr">
        <is>
          <t>AppliedReferral shows correct agent; hides on invalid</t>
        </is>
      </c>
      <c r="F11" s="9" t="inlineStr">
        <is>
          <t>Not Run</t>
        </is>
      </c>
      <c r="G11" s="9" t="inlineStr"/>
      <c r="H11" s="9" t="inlineStr"/>
      <c r="I11" s="9" t="inlineStr"/>
    </row>
    <row r="12">
      <c r="A12" s="9" t="inlineStr">
        <is>
          <t>AF-011</t>
        </is>
      </c>
      <c r="B12" s="9" t="inlineStr">
        <is>
          <t>P2</t>
        </is>
      </c>
      <c r="C12" s="9" t="inlineStr">
        <is>
          <t>Cookie expiry</t>
        </is>
      </c>
      <c r="D12" s="9" t="inlineStr">
        <is>
          <t>Edit cookie to expired</t>
        </is>
      </c>
      <c r="E12" s="9" t="inlineStr">
        <is>
          <t>Behaves as no referral</t>
        </is>
      </c>
      <c r="F12" s="9" t="inlineStr">
        <is>
          <t>Not Run</t>
        </is>
      </c>
      <c r="G12" s="9" t="inlineStr"/>
      <c r="H12" s="9" t="inlineStr"/>
      <c r="I12" s="9" t="inlineStr"/>
    </row>
    <row r="13">
      <c r="A13" s="9" t="inlineStr">
        <is>
          <t>AF-012</t>
        </is>
      </c>
      <c r="B13" s="9" t="inlineStr">
        <is>
          <t>P2</t>
        </is>
      </c>
      <c r="C13" s="9" t="inlineStr">
        <is>
          <t>Cookie tamper</t>
        </is>
      </c>
      <c r="D13" s="9" t="inlineStr">
        <is>
          <t>Set cookie to ' OR 1=1--</t>
        </is>
      </c>
      <c r="E13" s="9" t="inlineStr">
        <is>
          <t>Ignored, no 500</t>
        </is>
      </c>
      <c r="F13" s="9" t="inlineStr">
        <is>
          <t>Not Run</t>
        </is>
      </c>
      <c r="G13" s="9" t="inlineStr"/>
      <c r="H13" s="9" t="inlineStr"/>
      <c r="I13" s="9" t="inlineStr"/>
    </row>
    <row r="14">
      <c r="A14" s="9" t="inlineStr">
        <is>
          <t>AF-013</t>
        </is>
      </c>
      <c r="B14" s="9" t="inlineStr">
        <is>
          <t>P1</t>
        </is>
      </c>
      <c r="C14" s="9" t="inlineStr">
        <is>
          <t>Agent code vs referral code</t>
        </is>
      </c>
      <c r="D14" s="9" t="inlineStr">
        <is>
          <t>Use agent_code and referral_code of same agent</t>
        </is>
      </c>
      <c r="E14" s="9" t="inlineStr">
        <is>
          <t>Both resolve to the same agent</t>
        </is>
      </c>
      <c r="F14" s="9" t="inlineStr">
        <is>
          <t>Not Run</t>
        </is>
      </c>
      <c r="G14" s="9" t="inlineStr"/>
      <c r="H14" s="9" t="inlineStr"/>
      <c r="I14" s="9" t="inlineStr"/>
    </row>
  </sheetData>
  <autoFilter ref="A1:I14"/>
  <conditionalFormatting sqref="F2:F14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</conditionalFormatting>
  <dataValidations count="1">
    <dataValidation sqref="F2:F14" showDropDown="0" showInputMessage="0" showErrorMessage="0" allowBlank="1" type="list">
      <formula1>"Not Run,Pass,Fail,Blocked,N/A"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6" customWidth="1" min="2" max="2"/>
    <col width="48" customWidth="1" min="3" max="3"/>
    <col width="48" customWidth="1" min="4" max="4"/>
    <col width="48" customWidth="1" min="5" max="5"/>
    <col width="11" customWidth="1" min="6" max="6"/>
    <col width="12" customWidth="1" min="7" max="7"/>
    <col width="12" customWidth="1" min="8" max="8"/>
    <col width="28" customWidth="1" min="9" max="9"/>
  </cols>
  <sheetData>
    <row r="1">
      <c r="A1" s="8" t="inlineStr">
        <is>
          <t>ID</t>
        </is>
      </c>
      <c r="B1" s="8" t="inlineStr">
        <is>
          <t>P</t>
        </is>
      </c>
      <c r="C1" s="8" t="inlineStr">
        <is>
          <t>Scenario</t>
        </is>
      </c>
      <c r="D1" s="8" t="inlineStr">
        <is>
          <t>Steps</t>
        </is>
      </c>
      <c r="E1" s="8" t="inlineStr">
        <is>
          <t>Expected</t>
        </is>
      </c>
      <c r="F1" s="8" t="inlineStr">
        <is>
          <t>Status</t>
        </is>
      </c>
      <c r="G1" s="8" t="inlineStr">
        <is>
          <t>Tester</t>
        </is>
      </c>
      <c r="H1" s="8" t="inlineStr">
        <is>
          <t>Date</t>
        </is>
      </c>
      <c r="I1" s="8" t="inlineStr">
        <is>
          <t>Remarks</t>
        </is>
      </c>
    </row>
    <row r="2">
      <c r="A2" s="9" t="inlineStr">
        <is>
          <t>AF-020</t>
        </is>
      </c>
      <c r="B2" s="9" t="inlineStr">
        <is>
          <t>P0</t>
        </is>
      </c>
      <c r="C2" s="9" t="inlineStr">
        <is>
          <t>New signup via A link</t>
        </is>
      </c>
      <c r="D2" s="9" t="inlineStr">
        <is>
          <t>Link A → register</t>
        </is>
      </c>
      <c r="E2" s="9" t="inlineStr">
        <is>
          <t>current_agent_id=A, agent_assigned_at set, history row assigned / "Referral code", audit customer_assigned</t>
        </is>
      </c>
      <c r="F2" s="9" t="inlineStr">
        <is>
          <t>Not Run</t>
        </is>
      </c>
      <c r="G2" s="9" t="inlineStr"/>
      <c r="H2" s="9" t="inlineStr"/>
      <c r="I2" s="9" t="inlineStr"/>
    </row>
    <row r="3">
      <c r="A3" s="9" t="inlineStr">
        <is>
          <t>AF-021</t>
        </is>
      </c>
      <c r="B3" s="9" t="inlineStr">
        <is>
          <t>P0</t>
        </is>
      </c>
      <c r="C3" s="9" t="inlineStr">
        <is>
          <t>New signup without link</t>
        </is>
      </c>
      <c r="D3" s="9" t="inlineStr">
        <is>
          <t>Register plain</t>
        </is>
      </c>
      <c r="E3" s="9" t="inlineStr">
        <is>
          <t>No agent, no history row</t>
        </is>
      </c>
      <c r="F3" s="9" t="inlineStr">
        <is>
          <t>Not Run</t>
        </is>
      </c>
      <c r="G3" s="9" t="inlineStr"/>
      <c r="H3" s="9" t="inlineStr"/>
      <c r="I3" s="9" t="inlineStr"/>
    </row>
    <row r="4">
      <c r="A4" s="9" t="inlineStr">
        <is>
          <t>AF-022</t>
        </is>
      </c>
      <c r="B4" s="9" t="inlineStr">
        <is>
          <t>P0</t>
        </is>
      </c>
      <c r="C4" s="9" t="inlineStr">
        <is>
          <t>Existing unassigned customer, login via A link</t>
        </is>
      </c>
      <c r="D4" s="9" t="inlineStr">
        <is>
          <t>Login after opening link</t>
        </is>
      </c>
      <c r="E4" s="9" t="inlineStr">
        <is>
          <t>Assigned A (verify where: login or first order – note which)</t>
        </is>
      </c>
      <c r="F4" s="9" t="inlineStr">
        <is>
          <t>Not Run</t>
        </is>
      </c>
      <c r="G4" s="9" t="inlineStr"/>
      <c r="H4" s="9" t="inlineStr"/>
      <c r="I4" s="9" t="inlineStr"/>
    </row>
    <row r="5">
      <c r="A5" s="9" t="inlineStr">
        <is>
          <t>AF-023</t>
        </is>
      </c>
      <c r="B5" s="9" t="inlineStr">
        <is>
          <t>P0</t>
        </is>
      </c>
      <c r="C5" s="9" t="inlineStr">
        <is>
          <t>Unassigned customer places order with A cookie</t>
        </is>
      </c>
      <c r="D5" s="9" t="inlineStr">
        <is>
          <t>Checkout</t>
        </is>
      </c>
      <c r="E5" s="9" t="inlineStr">
        <is>
          <t>Assigned A and order.agent_id = A in same transaction</t>
        </is>
      </c>
      <c r="F5" s="9" t="inlineStr">
        <is>
          <t>Not Run</t>
        </is>
      </c>
      <c r="G5" s="9" t="inlineStr"/>
      <c r="H5" s="9" t="inlineStr"/>
      <c r="I5" s="9" t="inlineStr"/>
    </row>
    <row r="6">
      <c r="A6" s="9" t="inlineStr">
        <is>
          <t>AF-024</t>
        </is>
      </c>
      <c r="B6" s="9" t="inlineStr">
        <is>
          <t>P0</t>
        </is>
      </c>
      <c r="C6" s="9" t="inlineStr">
        <is>
          <t>Assigned to A, B cookie, place order</t>
        </is>
      </c>
      <c r="D6" s="9" t="inlineStr">
        <is>
          <t>Checkout</t>
        </is>
      </c>
      <c r="E6" s="9" t="inlineStr">
        <is>
          <t>Stays A; order agent = A; B gets nothing</t>
        </is>
      </c>
      <c r="F6" s="9" t="inlineStr">
        <is>
          <t>Not Run</t>
        </is>
      </c>
      <c r="G6" s="9" t="inlineStr"/>
      <c r="H6" s="9" t="inlineStr"/>
      <c r="I6" s="9" t="inlineStr"/>
    </row>
    <row r="7">
      <c r="A7" s="9" t="inlineStr">
        <is>
          <t>AF-025</t>
        </is>
      </c>
      <c r="B7" s="9" t="inlineStr">
        <is>
          <t>P0</t>
        </is>
      </c>
      <c r="C7" s="9" t="inlineStr">
        <is>
          <t>Assigned to A, no cookie, order</t>
        </is>
      </c>
      <c r="D7" s="9" t="inlineStr">
        <is>
          <t>Checkout</t>
        </is>
      </c>
      <c r="E7" s="9" t="inlineStr">
        <is>
          <t>Order agent = A (assignment not cookie-dependent)</t>
        </is>
      </c>
      <c r="F7" s="9" t="inlineStr">
        <is>
          <t>Not Run</t>
        </is>
      </c>
      <c r="G7" s="9" t="inlineStr"/>
      <c r="H7" s="9" t="inlineStr"/>
      <c r="I7" s="9" t="inlineStr"/>
    </row>
    <row r="8">
      <c r="A8" s="9" t="inlineStr">
        <is>
          <t>AF-026</t>
        </is>
      </c>
      <c r="B8" s="9" t="inlineStr">
        <is>
          <t>P0</t>
        </is>
      </c>
      <c r="C8" s="9" t="inlineStr">
        <is>
          <t>Race: two tabs, A link and B link, unassigned customer orders in both at same time</t>
        </is>
      </c>
      <c r="D8" s="9" t="inlineStr">
        <is>
          <t>Fire 2 checkouts concurrently</t>
        </is>
      </c>
      <c r="E8" s="9" t="inlineStr">
        <is>
          <t>Exactly one agent wins; assigned history has 1 row; both orders attributed to the same agent</t>
        </is>
      </c>
      <c r="F8" s="9" t="inlineStr">
        <is>
          <t>Not Run</t>
        </is>
      </c>
      <c r="G8" s="9" t="inlineStr"/>
      <c r="H8" s="9" t="inlineStr"/>
      <c r="I8" s="9" t="inlineStr"/>
    </row>
    <row r="9">
      <c r="A9" s="9" t="inlineStr">
        <is>
          <t>AF-027</t>
        </is>
      </c>
      <c r="B9" s="9" t="inlineStr">
        <is>
          <t>P0</t>
        </is>
      </c>
      <c r="C9" s="9" t="inlineStr">
        <is>
          <t>Agent opens another agent's link and logs in</t>
        </is>
      </c>
      <c r="D9" s="9" t="inlineStr">
        <is>
          <t>Login agent A with B cookie</t>
        </is>
      </c>
      <c r="E9" s="9" t="inlineStr">
        <is>
          <t>A not assigned to anyone (role ≠ customer)</t>
        </is>
      </c>
      <c r="F9" s="9" t="inlineStr">
        <is>
          <t>Not Run</t>
        </is>
      </c>
      <c r="G9" s="9" t="inlineStr"/>
      <c r="H9" s="9" t="inlineStr"/>
      <c r="I9" s="9" t="inlineStr"/>
    </row>
    <row r="10">
      <c r="A10" s="9" t="inlineStr">
        <is>
          <t>AF-028</t>
        </is>
      </c>
      <c r="B10" s="9" t="inlineStr">
        <is>
          <t>P0</t>
        </is>
      </c>
      <c r="C10" s="9" t="inlineStr">
        <is>
          <t>Agent shops for self</t>
        </is>
      </c>
      <c r="D10" s="9" t="inlineStr">
        <is>
          <t>Agent A logs in, orders on storefront</t>
        </is>
      </c>
      <c r="E10" s="9" t="inlineStr">
        <is>
          <t>AGENT_OWN, agent=A, commission rows created (R2)</t>
        </is>
      </c>
      <c r="F10" s="9" t="inlineStr">
        <is>
          <t>Not Run</t>
        </is>
      </c>
      <c r="G10" s="9" t="inlineStr"/>
      <c r="H10" s="9" t="inlineStr"/>
      <c r="I10" s="9" t="inlineStr"/>
    </row>
    <row r="11">
      <c r="A11" s="9" t="inlineStr">
        <is>
          <t>AF-029</t>
        </is>
      </c>
      <c r="B11" s="9" t="inlineStr">
        <is>
          <t>P0</t>
        </is>
      </c>
      <c r="C11" s="9" t="inlineStr">
        <is>
          <t>Customer's agent deactivated</t>
        </is>
      </c>
      <c r="D11" s="9" t="inlineStr">
        <is>
          <t>C→A, admin deactivates A, C orders with B's cookie</t>
        </is>
      </c>
      <c r="E11" s="9" t="inlineStr">
        <is>
          <t>Order has no agent (R3), C still shows A (stuck). Confirm admin can transfer to B. Flag as product decision</t>
        </is>
      </c>
      <c r="F11" s="9" t="inlineStr">
        <is>
          <t>Not Run</t>
        </is>
      </c>
      <c r="G11" s="9" t="inlineStr"/>
      <c r="H11" s="9" t="inlineStr"/>
      <c r="I11" s="9" t="inlineStr"/>
    </row>
    <row r="12">
      <c r="A12" s="9" t="inlineStr">
        <is>
          <t>AF-030</t>
        </is>
      </c>
      <c r="B12" s="9" t="inlineStr">
        <is>
          <t>P1</t>
        </is>
      </c>
      <c r="C12" s="9" t="inlineStr">
        <is>
          <t>Agent reactivated</t>
        </is>
      </c>
      <c r="D12" s="9" t="inlineStr">
        <is>
          <t>Reactivate A, C orders</t>
        </is>
      </c>
      <c r="E12" s="9" t="inlineStr">
        <is>
          <t>Credited to A again</t>
        </is>
      </c>
      <c r="F12" s="9" t="inlineStr">
        <is>
          <t>Not Run</t>
        </is>
      </c>
      <c r="G12" s="9" t="inlineStr"/>
      <c r="H12" s="9" t="inlineStr"/>
      <c r="I12" s="9" t="inlineStr"/>
    </row>
    <row r="13">
      <c r="A13" s="9" t="inlineStr">
        <is>
          <t>AF-031</t>
        </is>
      </c>
      <c r="B13" s="9" t="inlineStr">
        <is>
          <t>P1</t>
        </is>
      </c>
      <c r="C13" s="9" t="inlineStr">
        <is>
          <t>Agent soft-deleted</t>
        </is>
      </c>
      <c r="D13" s="9" t="inlineStr">
        <is>
          <t>Delete A</t>
        </is>
      </c>
      <c r="E13" s="9" t="inlineStr">
        <is>
          <t>Customers keep pointer, orders no agent, no crash on admin customer page</t>
        </is>
      </c>
      <c r="F13" s="9" t="inlineStr">
        <is>
          <t>Not Run</t>
        </is>
      </c>
      <c r="G13" s="9" t="inlineStr"/>
      <c r="H13" s="9" t="inlineStr"/>
      <c r="I13" s="9" t="inlineStr"/>
    </row>
    <row r="14">
      <c r="A14" s="9" t="inlineStr">
        <is>
          <t>AF-032</t>
        </is>
      </c>
      <c r="B14" s="9" t="inlineStr">
        <is>
          <t>P1</t>
        </is>
      </c>
      <c r="C14" s="9" t="inlineStr">
        <is>
          <t>customerId === agentId</t>
        </is>
      </c>
      <c r="D14" s="9" t="inlineStr">
        <is>
          <t>Call assignFromReferral(x,x)</t>
        </is>
      </c>
      <c r="E14" s="9" t="inlineStr">
        <is>
          <t>Returns null, no write</t>
        </is>
      </c>
      <c r="F14" s="9" t="inlineStr">
        <is>
          <t>Not Run</t>
        </is>
      </c>
      <c r="G14" s="9" t="inlineStr"/>
      <c r="H14" s="9" t="inlineStr"/>
      <c r="I14" s="9" t="inlineStr"/>
    </row>
    <row r="15">
      <c r="A15" s="9" t="inlineStr">
        <is>
          <t>AF-033</t>
        </is>
      </c>
      <c r="B15" s="9" t="inlineStr">
        <is>
          <t>P1</t>
        </is>
      </c>
      <c r="C15" s="9" t="inlineStr">
        <is>
          <t>Non-customer (admin/staff) with cookie</t>
        </is>
      </c>
      <c r="D15" s="9" t="inlineStr">
        <is>
          <t>Login admin, order</t>
        </is>
      </c>
      <c r="E15" s="9" t="inlineStr">
        <is>
          <t>No assignment</t>
        </is>
      </c>
      <c r="F15" s="9" t="inlineStr">
        <is>
          <t>Not Run</t>
        </is>
      </c>
      <c r="G15" s="9" t="inlineStr"/>
      <c r="H15" s="9" t="inlineStr"/>
      <c r="I15" s="9" t="inlineStr"/>
    </row>
    <row r="16">
      <c r="A16" s="9" t="inlineStr">
        <is>
          <t>AF-034</t>
        </is>
      </c>
      <c r="B16" s="9" t="inlineStr">
        <is>
          <t>P1</t>
        </is>
      </c>
      <c r="C16" s="9" t="inlineStr">
        <is>
          <t>Customer deactivated then reactivated</t>
        </is>
      </c>
      <c r="D16" s="9" t="inlineStr">
        <is>
          <t>–</t>
        </is>
      </c>
      <c r="E16" s="9" t="inlineStr">
        <is>
          <t>Assignment retained</t>
        </is>
      </c>
      <c r="F16" s="9" t="inlineStr">
        <is>
          <t>Not Run</t>
        </is>
      </c>
      <c r="G16" s="9" t="inlineStr"/>
      <c r="H16" s="9" t="inlineStr"/>
      <c r="I16" s="9" t="inlineStr"/>
    </row>
    <row r="17">
      <c r="A17" s="9" t="inlineStr">
        <is>
          <t>AF-035</t>
        </is>
      </c>
      <c r="B17" s="9" t="inlineStr">
        <is>
          <t>P2</t>
        </is>
      </c>
      <c r="C17" s="9" t="inlineStr">
        <is>
          <t>Account deleted/re-registered same email</t>
        </is>
      </c>
      <c r="D17" s="9" t="inlineStr">
        <is>
          <t>Register again with other link</t>
        </is>
      </c>
      <c r="E17" s="9" t="inlineStr">
        <is>
          <t>Treated as new customer (check unique soft-delete values)</t>
        </is>
      </c>
      <c r="F17" s="9" t="inlineStr">
        <is>
          <t>Not Run</t>
        </is>
      </c>
      <c r="G17" s="9" t="inlineStr"/>
      <c r="H17" s="9" t="inlineStr"/>
      <c r="I17" s="9" t="inlineStr"/>
    </row>
  </sheetData>
  <autoFilter ref="A1:I17"/>
  <conditionalFormatting sqref="F2:F17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</conditionalFormatting>
  <dataValidations count="1">
    <dataValidation sqref="F2:F17" showDropDown="0" showInputMessage="0" showErrorMessage="0" allowBlank="1" type="list">
      <formula1>"Not Run,Pass,Fail,Blocked,N/A"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6" customWidth="1" min="2" max="2"/>
    <col width="48" customWidth="1" min="3" max="3"/>
    <col width="48" customWidth="1" min="4" max="4"/>
    <col width="48" customWidth="1" min="5" max="5"/>
    <col width="11" customWidth="1" min="6" max="6"/>
    <col width="12" customWidth="1" min="7" max="7"/>
    <col width="12" customWidth="1" min="8" max="8"/>
    <col width="28" customWidth="1" min="9" max="9"/>
  </cols>
  <sheetData>
    <row r="1">
      <c r="A1" s="8" t="inlineStr">
        <is>
          <t>ID</t>
        </is>
      </c>
      <c r="B1" s="8" t="inlineStr">
        <is>
          <t>P</t>
        </is>
      </c>
      <c r="C1" s="8" t="inlineStr">
        <is>
          <t>Scenario</t>
        </is>
      </c>
      <c r="D1" s="8" t="inlineStr">
        <is>
          <t>Steps</t>
        </is>
      </c>
      <c r="E1" s="8" t="inlineStr">
        <is>
          <t>Expected</t>
        </is>
      </c>
      <c r="F1" s="8" t="inlineStr">
        <is>
          <t>Status</t>
        </is>
      </c>
      <c r="G1" s="8" t="inlineStr">
        <is>
          <t>Tester</t>
        </is>
      </c>
      <c r="H1" s="8" t="inlineStr">
        <is>
          <t>Date</t>
        </is>
      </c>
      <c r="I1" s="8" t="inlineStr">
        <is>
          <t>Remarks</t>
        </is>
      </c>
    </row>
    <row r="2">
      <c r="A2" s="9" t="inlineStr">
        <is>
          <t>AF-040</t>
        </is>
      </c>
      <c r="B2" s="9" t="inlineStr">
        <is>
          <t>P0</t>
        </is>
      </c>
      <c r="C2" s="9" t="inlineStr">
        <is>
          <t>A → B happy path</t>
        </is>
      </c>
      <c r="D2" s="9" t="inlineStr">
        <is>
          <t>Admin → customer → Sales Partner card → B → Confirm</t>
        </is>
      </c>
      <c r="E2" s="9" t="inlineStr">
        <is>
          <t>Confirm dialog; current_agent_id=B; history transferred with from/to/admin/reason; audit row</t>
        </is>
      </c>
      <c r="F2" s="9" t="inlineStr">
        <is>
          <t>Not Run</t>
        </is>
      </c>
      <c r="G2" s="9" t="inlineStr"/>
      <c r="H2" s="9" t="inlineStr"/>
      <c r="I2" s="9" t="inlineStr"/>
    </row>
    <row r="3">
      <c r="A3" s="9" t="inlineStr">
        <is>
          <t>AF-041</t>
        </is>
      </c>
      <c r="B3" s="9" t="inlineStr">
        <is>
          <t>P0</t>
        </is>
      </c>
      <c r="C3" s="9" t="inlineStr">
        <is>
          <t>Old orders untouched</t>
        </is>
      </c>
      <c r="D3" s="9" t="inlineStr">
        <is>
          <t>Check C's pre-transfer orders &amp; commissions</t>
        </is>
      </c>
      <c r="E3" s="9" t="inlineStr">
        <is>
          <t>agent_id/commissions still A</t>
        </is>
      </c>
      <c r="F3" s="9" t="inlineStr">
        <is>
          <t>Not Run</t>
        </is>
      </c>
      <c r="G3" s="9" t="inlineStr"/>
      <c r="H3" s="9" t="inlineStr"/>
      <c r="I3" s="9" t="inlineStr"/>
    </row>
    <row r="4">
      <c r="A4" s="9" t="inlineStr">
        <is>
          <t>AF-042</t>
        </is>
      </c>
      <c r="B4" s="9" t="inlineStr">
        <is>
          <t>P0</t>
        </is>
      </c>
      <c r="C4" s="9" t="inlineStr">
        <is>
          <t>Pre-transfer pending commission of A</t>
        </is>
      </c>
      <c r="D4" s="9" t="inlineStr">
        <is>
          <t>After transfer, deliver old order</t>
        </is>
      </c>
      <c r="E4" s="9" t="inlineStr">
        <is>
          <t>Commission still credited to A, not B</t>
        </is>
      </c>
      <c r="F4" s="9" t="inlineStr">
        <is>
          <t>Not Run</t>
        </is>
      </c>
      <c r="G4" s="9" t="inlineStr"/>
      <c r="H4" s="9" t="inlineStr"/>
      <c r="I4" s="9" t="inlineStr"/>
    </row>
    <row r="5">
      <c r="A5" s="9" t="inlineStr">
        <is>
          <t>AF-043</t>
        </is>
      </c>
      <c r="B5" s="9" t="inlineStr">
        <is>
          <t>P0</t>
        </is>
      </c>
      <c r="C5" s="9" t="inlineStr">
        <is>
          <t>New order after transfer</t>
        </is>
      </c>
      <c r="D5" s="9" t="inlineStr">
        <is>
          <t>C orders</t>
        </is>
      </c>
      <c r="E5" s="9" t="inlineStr">
        <is>
          <t>agent=B</t>
        </is>
      </c>
      <c r="F5" s="9" t="inlineStr">
        <is>
          <t>Not Run</t>
        </is>
      </c>
      <c r="G5" s="9" t="inlineStr"/>
      <c r="H5" s="9" t="inlineStr"/>
      <c r="I5" s="9" t="inlineStr"/>
    </row>
    <row r="6">
      <c r="A6" s="9" t="inlineStr">
        <is>
          <t>AF-044</t>
        </is>
      </c>
      <c r="B6" s="9" t="inlineStr">
        <is>
          <t>P0</t>
        </is>
      </c>
      <c r="C6" s="9" t="inlineStr">
        <is>
          <t>Same agent</t>
        </is>
      </c>
      <c r="D6" s="9" t="inlineStr">
        <is>
          <t>A → A</t>
        </is>
      </c>
      <c r="E6" s="9" t="inlineStr">
        <is>
          <t>400 "already assigned"</t>
        </is>
      </c>
      <c r="F6" s="9" t="inlineStr">
        <is>
          <t>Not Run</t>
        </is>
      </c>
      <c r="G6" s="9" t="inlineStr"/>
      <c r="H6" s="9" t="inlineStr"/>
      <c r="I6" s="9" t="inlineStr"/>
    </row>
    <row r="7">
      <c r="A7" s="9" t="inlineStr">
        <is>
          <t>AF-045</t>
        </is>
      </c>
      <c r="B7" s="9" t="inlineStr">
        <is>
          <t>P0</t>
        </is>
      </c>
      <c r="C7" s="9" t="inlineStr">
        <is>
          <t>Stale screen</t>
        </is>
      </c>
      <c r="D7" s="9" t="inlineStr">
        <is>
          <t>2 tabs, transfer in tab 1, tab 2 transfer</t>
        </is>
      </c>
      <c r="E7" s="9" t="inlineStr">
        <is>
          <t>409 "has changed. Refresh"</t>
        </is>
      </c>
      <c r="F7" s="9" t="inlineStr">
        <is>
          <t>Not Run</t>
        </is>
      </c>
      <c r="G7" s="9" t="inlineStr"/>
      <c r="H7" s="9" t="inlineStr"/>
      <c r="I7" s="9" t="inlineStr"/>
    </row>
    <row r="8">
      <c r="A8" s="9" t="inlineStr">
        <is>
          <t>AF-046</t>
        </is>
      </c>
      <c r="B8" s="9" t="inlineStr">
        <is>
          <t>P0</t>
        </is>
      </c>
      <c r="C8" s="9" t="inlineStr">
        <is>
          <t>Concurrent transfers (A→B and A→C at once)</t>
        </is>
      </c>
      <c r="D8" s="9" t="inlineStr">
        <is>
          <t>2 API calls same fromAgentRef</t>
        </is>
      </c>
      <c r="E8" s="9" t="inlineStr">
        <is>
          <t>One 200, one 409; one history row</t>
        </is>
      </c>
      <c r="F8" s="9" t="inlineStr">
        <is>
          <t>Not Run</t>
        </is>
      </c>
      <c r="G8" s="9" t="inlineStr"/>
      <c r="H8" s="9" t="inlineStr"/>
      <c r="I8" s="9" t="inlineStr"/>
    </row>
    <row r="9">
      <c r="A9" s="9" t="inlineStr">
        <is>
          <t>AF-047</t>
        </is>
      </c>
      <c r="B9" s="9" t="inlineStr">
        <is>
          <t>P0</t>
        </is>
      </c>
      <c r="C9" s="9" t="inlineStr">
        <is>
          <t>Destination inactive / deleted</t>
        </is>
      </c>
      <c r="D9" s="9" t="inlineStr">
        <is>
          <t>Transfer to inactive B</t>
        </is>
      </c>
      <c r="E9" s="9" t="inlineStr">
        <is>
          <t>400 "not active"</t>
        </is>
      </c>
      <c r="F9" s="9" t="inlineStr">
        <is>
          <t>Not Run</t>
        </is>
      </c>
      <c r="G9" s="9" t="inlineStr"/>
      <c r="H9" s="9" t="inlineStr"/>
      <c r="I9" s="9" t="inlineStr"/>
    </row>
    <row r="10">
      <c r="A10" s="9" t="inlineStr">
        <is>
          <t>AF-048</t>
        </is>
      </c>
      <c r="B10" s="9" t="inlineStr">
        <is>
          <t>P1</t>
        </is>
      </c>
      <c r="C10" s="9" t="inlineStr">
        <is>
          <t>Destination is not an agent (customer/admin uuid)</t>
        </is>
      </c>
      <c r="D10" s="9" t="inlineStr">
        <is>
          <t>API with customer uuid</t>
        </is>
      </c>
      <c r="E10" s="9" t="inlineStr">
        <is>
          <t>400 "Destination not found"</t>
        </is>
      </c>
      <c r="F10" s="9" t="inlineStr">
        <is>
          <t>Not Run</t>
        </is>
      </c>
      <c r="G10" s="9" t="inlineStr"/>
      <c r="H10" s="9" t="inlineStr"/>
      <c r="I10" s="9" t="inlineStr"/>
    </row>
    <row r="11">
      <c r="A11" s="9" t="inlineStr">
        <is>
          <t>AF-049</t>
        </is>
      </c>
      <c r="B11" s="9" t="inlineStr">
        <is>
          <t>P1</t>
        </is>
      </c>
      <c r="C11" s="9" t="inlineStr">
        <is>
          <t>Unknown destination / unknown customer</t>
        </is>
      </c>
      <c r="D11" s="9" t="inlineStr">
        <is>
          <t>Random uuid</t>
        </is>
      </c>
      <c r="E11" s="9" t="inlineStr">
        <is>
          <t>400 / 404</t>
        </is>
      </c>
      <c r="F11" s="9" t="inlineStr">
        <is>
          <t>Not Run</t>
        </is>
      </c>
      <c r="G11" s="9" t="inlineStr"/>
      <c r="H11" s="9" t="inlineStr"/>
      <c r="I11" s="9" t="inlineStr"/>
    </row>
    <row r="12">
      <c r="A12" s="9" t="inlineStr">
        <is>
          <t>AF-050</t>
        </is>
      </c>
      <c r="B12" s="9" t="inlineStr">
        <is>
          <t>P1</t>
        </is>
      </c>
      <c r="C12" s="9" t="inlineStr">
        <is>
          <t>Customer with no agent → assign by admin</t>
        </is>
      </c>
      <c r="D12" s="9" t="inlineStr">
        <is>
          <t>Omit fromAgentRef</t>
        </is>
      </c>
      <c r="E12" s="9" t="inlineStr">
        <is>
          <t>Allowed; history action assigned; actor = admin name</t>
        </is>
      </c>
      <c r="F12" s="9" t="inlineStr">
        <is>
          <t>Not Run</t>
        </is>
      </c>
      <c r="G12" s="9" t="inlineStr"/>
      <c r="H12" s="9" t="inlineStr"/>
      <c r="I12" s="9" t="inlineStr"/>
    </row>
    <row r="13">
      <c r="A13" s="9" t="inlineStr">
        <is>
          <t>AF-051</t>
        </is>
      </c>
      <c r="B13" s="9" t="inlineStr">
        <is>
          <t>P1</t>
        </is>
      </c>
      <c r="C13" s="9" t="inlineStr">
        <is>
          <t>Omit fromAgentRef on assigned customer</t>
        </is>
      </c>
      <c r="D13" s="9" t="inlineStr">
        <is>
          <t>API</t>
        </is>
      </c>
      <c r="E13" s="9" t="inlineStr">
        <is>
          <t>Allowed (no stale protection) – confirm intended</t>
        </is>
      </c>
      <c r="F13" s="9" t="inlineStr">
        <is>
          <t>Not Run</t>
        </is>
      </c>
      <c r="G13" s="9" t="inlineStr"/>
      <c r="H13" s="9" t="inlineStr"/>
      <c r="I13" s="9" t="inlineStr"/>
    </row>
    <row r="14">
      <c r="A14" s="9" t="inlineStr">
        <is>
          <t>AF-052</t>
        </is>
      </c>
      <c r="B14" s="9" t="inlineStr">
        <is>
          <t>P1</t>
        </is>
      </c>
      <c r="C14" s="9" t="inlineStr">
        <is>
          <t>Reason 255 / 256 / whitespace-only</t>
        </is>
      </c>
      <c r="D14" s="9" t="inlineStr">
        <is>
          <t>–</t>
        </is>
      </c>
      <c r="E14" s="9" t="inlineStr">
        <is>
          <t>Trimmed, truncated to 255, whitespace → null</t>
        </is>
      </c>
      <c r="F14" s="9" t="inlineStr">
        <is>
          <t>Not Run</t>
        </is>
      </c>
      <c r="G14" s="9" t="inlineStr"/>
      <c r="H14" s="9" t="inlineStr"/>
      <c r="I14" s="9" t="inlineStr"/>
    </row>
    <row r="15">
      <c r="A15" s="9" t="inlineStr">
        <is>
          <t>AF-053</t>
        </is>
      </c>
      <c r="B15" s="9" t="inlineStr">
        <is>
          <t>P0</t>
        </is>
      </c>
      <c r="C15" s="9" t="inlineStr">
        <is>
          <t>Agent token calls transfer</t>
        </is>
      </c>
      <c r="D15" s="9" t="inlineStr">
        <is>
          <t>POST /api/admin/customers/:id/agent</t>
        </is>
      </c>
      <c r="E15" s="9" t="inlineStr">
        <is>
          <t>403</t>
        </is>
      </c>
      <c r="F15" s="9" t="inlineStr">
        <is>
          <t>Not Run</t>
        </is>
      </c>
      <c r="G15" s="9" t="inlineStr"/>
      <c r="H15" s="9" t="inlineStr"/>
      <c r="I15" s="9" t="inlineStr"/>
    </row>
    <row r="16">
      <c r="A16" s="9" t="inlineStr">
        <is>
          <t>AF-054</t>
        </is>
      </c>
      <c r="B16" s="9" t="inlineStr">
        <is>
          <t>P0</t>
        </is>
      </c>
      <c r="C16" s="9" t="inlineStr">
        <is>
          <t>Customer token / no token</t>
        </is>
      </c>
      <c r="D16" s="9" t="inlineStr">
        <is>
          <t>–</t>
        </is>
      </c>
      <c r="E16" s="9" t="inlineStr">
        <is>
          <t>403 / 401</t>
        </is>
      </c>
      <c r="F16" s="9" t="inlineStr">
        <is>
          <t>Not Run</t>
        </is>
      </c>
      <c r="G16" s="9" t="inlineStr"/>
      <c r="H16" s="9" t="inlineStr"/>
      <c r="I16" s="9" t="inlineStr"/>
    </row>
    <row r="17">
      <c r="A17" s="9" t="inlineStr">
        <is>
          <t>AF-055</t>
        </is>
      </c>
      <c r="B17" s="9" t="inlineStr">
        <is>
          <t>P1</t>
        </is>
      </c>
      <c r="C17" s="9" t="inlineStr">
        <is>
          <t>Staff role (non-admin)</t>
        </is>
      </c>
      <c r="D17" s="9" t="inlineStr">
        <is>
          <t>–</t>
        </is>
      </c>
      <c r="E17" s="9" t="inlineStr">
        <is>
          <t>403 (actor.role !== "ADMIN")</t>
        </is>
      </c>
      <c r="F17" s="9" t="inlineStr">
        <is>
          <t>Not Run</t>
        </is>
      </c>
      <c r="G17" s="9" t="inlineStr"/>
      <c r="H17" s="9" t="inlineStr"/>
      <c r="I17" s="9" t="inlineStr"/>
    </row>
    <row r="18">
      <c r="A18" s="9" t="inlineStr">
        <is>
          <t>AF-056</t>
        </is>
      </c>
      <c r="B18" s="9" t="inlineStr">
        <is>
          <t>P1</t>
        </is>
      </c>
      <c r="C18" s="9" t="inlineStr">
        <is>
          <t>Transfer A→B→A→B</t>
        </is>
      </c>
      <c r="D18" s="9" t="inlineStr">
        <is>
          <t>–</t>
        </is>
      </c>
      <c r="E18" s="9" t="inlineStr">
        <is>
          <t>3 history rows, newest first, none deleted</t>
        </is>
      </c>
      <c r="F18" s="9" t="inlineStr">
        <is>
          <t>Not Run</t>
        </is>
      </c>
      <c r="G18" s="9" t="inlineStr"/>
      <c r="H18" s="9" t="inlineStr"/>
      <c r="I18" s="9" t="inlineStr"/>
    </row>
    <row r="19">
      <c r="A19" s="9" t="inlineStr">
        <is>
          <t>AF-057</t>
        </is>
      </c>
      <c r="B19" s="9" t="inlineStr">
        <is>
          <t>P1</t>
        </is>
      </c>
      <c r="C19" s="9" t="inlineStr">
        <is>
          <t>Lookup by cust_id, numeric id, uuid</t>
        </is>
      </c>
      <c r="D19" s="9" t="inlineStr">
        <is>
          <t>–</t>
        </is>
      </c>
      <c r="E19" s="9" t="inlineStr">
        <is>
          <t>All resolve</t>
        </is>
      </c>
      <c r="F19" s="9" t="inlineStr">
        <is>
          <t>Not Run</t>
        </is>
      </c>
      <c r="G19" s="9" t="inlineStr"/>
      <c r="H19" s="9" t="inlineStr"/>
      <c r="I19" s="9" t="inlineStr"/>
    </row>
    <row r="20">
      <c r="A20" s="9" t="inlineStr">
        <is>
          <t>AF-058</t>
        </is>
      </c>
      <c r="B20" s="9" t="inlineStr">
        <is>
          <t>P1</t>
        </is>
      </c>
      <c r="C20" s="9" t="inlineStr">
        <is>
          <t>Transferred customer disappears from A list, appears in B</t>
        </is>
      </c>
      <c r="D20" s="9" t="inlineStr">
        <is>
          <t>Reload both</t>
        </is>
      </c>
      <c r="E20" s="9" t="inlineStr">
        <is>
          <t>Correct</t>
        </is>
      </c>
      <c r="F20" s="9" t="inlineStr">
        <is>
          <t>Not Run</t>
        </is>
      </c>
      <c r="G20" s="9" t="inlineStr"/>
      <c r="H20" s="9" t="inlineStr"/>
      <c r="I20" s="9" t="inlineStr"/>
    </row>
    <row r="21">
      <c r="A21" s="9" t="inlineStr">
        <is>
          <t>AF-059</t>
        </is>
      </c>
      <c r="B21" s="9" t="inlineStr">
        <is>
          <t>P1</t>
        </is>
      </c>
      <c r="C21" s="9" t="inlineStr">
        <is>
          <t>A's open "Place Order" screen with C selected during transfer</t>
        </is>
      </c>
      <c r="D21" s="9" t="inlineStr">
        <is>
          <t>Submit after transfer</t>
        </is>
      </c>
      <c r="E21" s="9" t="inlineStr">
        <is>
          <t>403 "not assigned to you"</t>
        </is>
      </c>
      <c r="F21" s="9" t="inlineStr">
        <is>
          <t>Not Run</t>
        </is>
      </c>
      <c r="G21" s="9" t="inlineStr"/>
      <c r="H21" s="9" t="inlineStr"/>
      <c r="I21" s="9" t="inlineStr"/>
    </row>
    <row r="22">
      <c r="A22" s="9" t="inlineStr">
        <is>
          <t>AF-060</t>
        </is>
      </c>
      <c r="B22" s="9" t="inlineStr">
        <is>
          <t>P2</t>
        </is>
      </c>
      <c r="C22" s="9" t="inlineStr">
        <is>
          <t>Customer sees agent name?</t>
        </is>
      </c>
      <c r="D22" s="9" t="inlineStr">
        <is>
          <t>Customer account</t>
        </is>
      </c>
      <c r="E22" s="9" t="inlineStr">
        <is>
          <t>Agent identity not leaked unless intended</t>
        </is>
      </c>
      <c r="F22" s="9" t="inlineStr">
        <is>
          <t>Not Run</t>
        </is>
      </c>
      <c r="G22" s="9" t="inlineStr"/>
      <c r="H22" s="9" t="inlineStr"/>
      <c r="I22" s="9" t="inlineStr"/>
    </row>
  </sheetData>
  <autoFilter ref="A1:I22"/>
  <conditionalFormatting sqref="F2:F22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</conditionalFormatting>
  <dataValidations count="1">
    <dataValidation sqref="F2:F22" showDropDown="0" showInputMessage="0" showErrorMessage="0" allowBlank="1" type="list">
      <formula1>"Not Run,Pass,Fail,Blocked,N/A"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6" customWidth="1" min="2" max="2"/>
    <col width="48" customWidth="1" min="3" max="3"/>
    <col width="48" customWidth="1" min="4" max="4"/>
    <col width="11" customWidth="1" min="5" max="5"/>
    <col width="12" customWidth="1" min="6" max="6"/>
    <col width="12" customWidth="1" min="7" max="7"/>
    <col width="28" customWidth="1" min="8" max="8"/>
  </cols>
  <sheetData>
    <row r="1">
      <c r="A1" s="8" t="inlineStr">
        <is>
          <t>ID</t>
        </is>
      </c>
      <c r="B1" s="8" t="inlineStr">
        <is>
          <t>P</t>
        </is>
      </c>
      <c r="C1" s="8" t="inlineStr">
        <is>
          <t>Scenario</t>
        </is>
      </c>
      <c r="D1" s="8" t="inlineStr">
        <is>
          <t>Expected</t>
        </is>
      </c>
      <c r="E1" s="8" t="inlineStr">
        <is>
          <t>Status</t>
        </is>
      </c>
      <c r="F1" s="8" t="inlineStr">
        <is>
          <t>Tester</t>
        </is>
      </c>
      <c r="G1" s="8" t="inlineStr">
        <is>
          <t>Date</t>
        </is>
      </c>
      <c r="H1" s="8" t="inlineStr">
        <is>
          <t>Remarks</t>
        </is>
      </c>
    </row>
    <row r="2">
      <c r="A2" s="9" t="inlineStr">
        <is>
          <t>AF-070</t>
        </is>
      </c>
      <c r="B2" s="9" t="inlineStr">
        <is>
          <t>P0</t>
        </is>
      </c>
      <c r="C2" s="9" t="inlineStr">
        <is>
          <t>A's list contains only current_agent_id=A customers</t>
        </is>
      </c>
      <c r="D2" s="9" t="inlineStr">
        <is>
          <t>Verify count vs DB</t>
        </is>
      </c>
      <c r="E2" s="9" t="inlineStr">
        <is>
          <t>Not Run</t>
        </is>
      </c>
      <c r="F2" s="9" t="inlineStr"/>
      <c r="G2" s="9" t="inlineStr"/>
      <c r="H2" s="9" t="inlineStr"/>
    </row>
    <row r="3">
      <c r="A3" s="9" t="inlineStr">
        <is>
          <t>AF-071</t>
        </is>
      </c>
      <c r="B3" s="9" t="inlineStr">
        <is>
          <t>P1</t>
        </is>
      </c>
      <c r="C3" s="9" t="inlineStr">
        <is>
          <t>Columns: name, customer ID, mobile, email</t>
        </is>
      </c>
      <c r="D3" s="9" t="inlineStr">
        <is>
          <t>Shown, masked as designed</t>
        </is>
      </c>
      <c r="E3" s="9" t="inlineStr">
        <is>
          <t>Not Run</t>
        </is>
      </c>
      <c r="F3" s="9" t="inlineStr"/>
      <c r="G3" s="9" t="inlineStr"/>
      <c r="H3" s="9" t="inlineStr"/>
    </row>
    <row r="4">
      <c r="A4" s="9" t="inlineStr">
        <is>
          <t>AF-072</t>
        </is>
      </c>
      <c r="B4" s="9" t="inlineStr">
        <is>
          <t>P1</t>
        </is>
      </c>
      <c r="C4" s="9" t="inlineStr">
        <is>
          <t>Search name / cust_id / mobile / email, partial, case-insensitive</t>
        </is>
      </c>
      <c r="D4" s="9" t="inlineStr">
        <is>
          <t>Correct matches; no match → empty state</t>
        </is>
      </c>
      <c r="E4" s="9" t="inlineStr">
        <is>
          <t>Not Run</t>
        </is>
      </c>
      <c r="F4" s="9" t="inlineStr"/>
      <c r="G4" s="9" t="inlineStr"/>
      <c r="H4" s="9" t="inlineStr"/>
    </row>
    <row r="5">
      <c r="A5" s="9" t="inlineStr">
        <is>
          <t>AF-073</t>
        </is>
      </c>
      <c r="B5" s="9" t="inlineStr">
        <is>
          <t>P1</t>
        </is>
      </c>
      <c r="C5" s="9" t="inlineStr">
        <is>
          <t>Search with %, _, ', emoji</t>
        </is>
      </c>
      <c r="D5" s="9" t="inlineStr">
        <is>
          <t>No SQL error, literal handling</t>
        </is>
      </c>
      <c r="E5" s="9" t="inlineStr">
        <is>
          <t>Not Run</t>
        </is>
      </c>
      <c r="F5" s="9" t="inlineStr"/>
      <c r="G5" s="9" t="inlineStr"/>
      <c r="H5" s="9" t="inlineStr"/>
    </row>
    <row r="6">
      <c r="A6" s="9" t="inlineStr">
        <is>
          <t>AF-074</t>
        </is>
      </c>
      <c r="B6" s="9" t="inlineStr">
        <is>
          <t>P1</t>
        </is>
      </c>
      <c r="C6" s="9" t="inlineStr">
        <is>
          <t>Status filter active/inactive</t>
        </is>
      </c>
      <c r="D6" s="9" t="inlineStr">
        <is>
          <t>Correct</t>
        </is>
      </c>
      <c r="E6" s="9" t="inlineStr">
        <is>
          <t>Not Run</t>
        </is>
      </c>
      <c r="F6" s="9" t="inlineStr"/>
      <c r="G6" s="9" t="inlineStr"/>
      <c r="H6" s="9" t="inlineStr"/>
    </row>
    <row r="7">
      <c r="A7" s="9" t="inlineStr">
        <is>
          <t>AF-075</t>
        </is>
      </c>
      <c r="B7" s="9" t="inlineStr">
        <is>
          <t>P1</t>
        </is>
      </c>
      <c r="C7" s="9" t="inlineStr">
        <is>
          <t>Pagination 20/page with 45 customers; page beyond last; page=0, limit=1000, limit=-1</t>
        </is>
      </c>
      <c r="D7" s="9" t="inlineStr">
        <is>
          <t>Clamped (1..100), no 500</t>
        </is>
      </c>
      <c r="E7" s="9" t="inlineStr">
        <is>
          <t>Not Run</t>
        </is>
      </c>
      <c r="F7" s="9" t="inlineStr"/>
      <c r="G7" s="9" t="inlineStr"/>
      <c r="H7" s="9" t="inlineStr"/>
    </row>
    <row r="8">
      <c r="A8" s="9" t="inlineStr">
        <is>
          <t>AF-076</t>
        </is>
      </c>
      <c r="B8" s="9" t="inlineStr">
        <is>
          <t>P0</t>
        </is>
      </c>
      <c r="C8" s="9" t="inlineStr">
        <is>
          <t>Agent B hits GET /api/agent/customers/&lt;C of A&gt;/addresses</t>
        </is>
      </c>
      <c r="D8" s="9" t="inlineStr">
        <is>
          <t>404 / 403, no addresses leaked</t>
        </is>
      </c>
      <c r="E8" s="9" t="inlineStr">
        <is>
          <t>Not Run</t>
        </is>
      </c>
      <c r="F8" s="9" t="inlineStr"/>
      <c r="G8" s="9" t="inlineStr"/>
      <c r="H8" s="9" t="inlineStr"/>
    </row>
    <row r="9">
      <c r="A9" s="9" t="inlineStr">
        <is>
          <t>AF-077</t>
        </is>
      </c>
      <c r="B9" s="9" t="inlineStr">
        <is>
          <t>P0</t>
        </is>
      </c>
      <c r="C9" s="9" t="inlineStr">
        <is>
          <t>Agent passes ?agent=B on /api/agent/orders, /commissions, /payouts, /dashboard</t>
        </is>
      </c>
      <c r="D9" s="9" t="inlineStr">
        <is>
          <t>Ignored; own data only</t>
        </is>
      </c>
      <c r="E9" s="9" t="inlineStr">
        <is>
          <t>Not Run</t>
        </is>
      </c>
      <c r="F9" s="9" t="inlineStr"/>
      <c r="G9" s="9" t="inlineStr"/>
      <c r="H9" s="9" t="inlineStr"/>
    </row>
    <row r="10">
      <c r="A10" s="9" t="inlineStr">
        <is>
          <t>AF-078</t>
        </is>
      </c>
      <c r="B10" s="9" t="inlineStr">
        <is>
          <t>P1</t>
        </is>
      </c>
      <c r="C10" s="9" t="inlineStr">
        <is>
          <t>Mobile 375px</t>
        </is>
      </c>
      <c r="D10" s="9" t="inlineStr">
        <is>
          <t>Table scrolls, filters usable</t>
        </is>
      </c>
      <c r="E10" s="9" t="inlineStr">
        <is>
          <t>Not Run</t>
        </is>
      </c>
      <c r="F10" s="9" t="inlineStr"/>
      <c r="G10" s="9" t="inlineStr"/>
      <c r="H10" s="9" t="inlineStr"/>
    </row>
    <row r="11">
      <c r="A11" s="9" t="inlineStr">
        <is>
          <t>AF-079</t>
        </is>
      </c>
      <c r="B11" s="9" t="inlineStr">
        <is>
          <t>P2</t>
        </is>
      </c>
      <c r="C11" s="9" t="inlineStr">
        <is>
          <t>Inactive customer in list</t>
        </is>
      </c>
      <c r="D11" s="9" t="inlineStr">
        <is>
          <t>Shown with status badge, cannot be ordered for</t>
        </is>
      </c>
      <c r="E11" s="9" t="inlineStr">
        <is>
          <t>Not Run</t>
        </is>
      </c>
      <c r="F11" s="9" t="inlineStr"/>
      <c r="G11" s="9" t="inlineStr"/>
      <c r="H11" s="9" t="inlineStr"/>
    </row>
  </sheetData>
  <autoFilter ref="A1:H11"/>
  <conditionalFormatting sqref="E2:E11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</conditionalFormatting>
  <dataValidations count="1">
    <dataValidation sqref="E2:E11" showDropDown="0" showInputMessage="0" showErrorMessage="0" allowBlank="1" type="list">
      <formula1>"Not Run,Pass,Fail,Blocked,N/A"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6" customWidth="1" min="2" max="2"/>
    <col width="48" customWidth="1" min="3" max="3"/>
    <col width="48" customWidth="1" min="4" max="4"/>
    <col width="11" customWidth="1" min="5" max="5"/>
    <col width="12" customWidth="1" min="6" max="6"/>
    <col width="12" customWidth="1" min="7" max="7"/>
    <col width="28" customWidth="1" min="8" max="8"/>
  </cols>
  <sheetData>
    <row r="1">
      <c r="A1" s="8" t="inlineStr">
        <is>
          <t>ID</t>
        </is>
      </c>
      <c r="B1" s="8" t="inlineStr">
        <is>
          <t>P</t>
        </is>
      </c>
      <c r="C1" s="8" t="inlineStr">
        <is>
          <t>Scenario</t>
        </is>
      </c>
      <c r="D1" s="8" t="inlineStr">
        <is>
          <t>Expected</t>
        </is>
      </c>
      <c r="E1" s="8" t="inlineStr">
        <is>
          <t>Status</t>
        </is>
      </c>
      <c r="F1" s="8" t="inlineStr">
        <is>
          <t>Tester</t>
        </is>
      </c>
      <c r="G1" s="8" t="inlineStr">
        <is>
          <t>Date</t>
        </is>
      </c>
      <c r="H1" s="8" t="inlineStr">
        <is>
          <t>Remarks</t>
        </is>
      </c>
    </row>
    <row r="2">
      <c r="A2" s="9" t="inlineStr">
        <is>
          <t>AF-080</t>
        </is>
      </c>
      <c r="B2" s="9" t="inlineStr">
        <is>
          <t>P0</t>
        </is>
      </c>
      <c r="C2" s="9" t="inlineStr">
        <is>
          <t>Assigned customer + saved address</t>
        </is>
      </c>
      <c r="D2" s="9" t="inlineStr">
        <is>
          <t>Order: userId=C, agent_id=A, ordered_by=A, source AGENT_PLACED_FOR_CUSTOMER, status confirmed, COD/pending</t>
        </is>
      </c>
      <c r="E2" s="9" t="inlineStr">
        <is>
          <t>Not Run</t>
        </is>
      </c>
      <c r="F2" s="9" t="inlineStr"/>
      <c r="G2" s="9" t="inlineStr"/>
      <c r="H2" s="9" t="inlineStr"/>
    </row>
    <row r="3">
      <c r="A3" s="9" t="inlineStr">
        <is>
          <t>AF-081</t>
        </is>
      </c>
      <c r="B3" s="9" t="inlineStr">
        <is>
          <t>P0</t>
        </is>
      </c>
      <c r="C3" s="9" t="inlineStr">
        <is>
          <t>Customer of another agent (API)</t>
        </is>
      </c>
      <c r="D3" s="9" t="inlineStr">
        <is>
          <t>403 "not assigned to you"; no order</t>
        </is>
      </c>
      <c r="E3" s="9" t="inlineStr">
        <is>
          <t>Not Run</t>
        </is>
      </c>
      <c r="F3" s="9" t="inlineStr"/>
      <c r="G3" s="9" t="inlineStr"/>
      <c r="H3" s="9" t="inlineStr"/>
    </row>
    <row r="4">
      <c r="A4" s="9" t="inlineStr">
        <is>
          <t>AF-082</t>
        </is>
      </c>
      <c r="B4" s="9" t="inlineStr">
        <is>
          <t>P0</t>
        </is>
      </c>
      <c r="C4" s="9" t="inlineStr">
        <is>
          <t>Unassigned customer (API)</t>
        </is>
      </c>
      <c r="D4" s="9" t="inlineStr">
        <is>
          <t>403</t>
        </is>
      </c>
      <c r="E4" s="9" t="inlineStr">
        <is>
          <t>Not Run</t>
        </is>
      </c>
      <c r="F4" s="9" t="inlineStr"/>
      <c r="G4" s="9" t="inlineStr"/>
      <c r="H4" s="9" t="inlineStr"/>
    </row>
    <row r="5">
      <c r="A5" s="9" t="inlineStr">
        <is>
          <t>AF-083</t>
        </is>
      </c>
      <c r="B5" s="9" t="inlineStr">
        <is>
          <t>P0</t>
        </is>
      </c>
      <c r="C5" s="9" t="inlineStr">
        <is>
          <t>Inactive customer</t>
        </is>
      </c>
      <c r="D5" s="9" t="inlineStr">
        <is>
          <t>400 "account is inactive"</t>
        </is>
      </c>
      <c r="E5" s="9" t="inlineStr">
        <is>
          <t>Not Run</t>
        </is>
      </c>
      <c r="F5" s="9" t="inlineStr"/>
      <c r="G5" s="9" t="inlineStr"/>
      <c r="H5" s="9" t="inlineStr"/>
    </row>
    <row r="6">
      <c r="A6" s="9" t="inlineStr">
        <is>
          <t>AF-084</t>
        </is>
      </c>
      <c r="B6" s="9" t="inlineStr">
        <is>
          <t>P0</t>
        </is>
      </c>
      <c r="C6" s="9" t="inlineStr">
        <is>
          <t>Both customerId and manualCustomer</t>
        </is>
      </c>
      <c r="D6" s="9" t="inlineStr">
        <is>
          <t>400 (schema)</t>
        </is>
      </c>
      <c r="E6" s="9" t="inlineStr">
        <is>
          <t>Not Run</t>
        </is>
      </c>
      <c r="F6" s="9" t="inlineStr"/>
      <c r="G6" s="9" t="inlineStr"/>
      <c r="H6" s="9" t="inlineStr"/>
    </row>
    <row r="7">
      <c r="A7" s="9" t="inlineStr">
        <is>
          <t>AF-085</t>
        </is>
      </c>
      <c r="B7" s="9" t="inlineStr">
        <is>
          <t>P0</t>
        </is>
      </c>
      <c r="C7" s="9" t="inlineStr">
        <is>
          <t>Neither</t>
        </is>
      </c>
      <c r="D7" s="9" t="inlineStr">
        <is>
          <t>400</t>
        </is>
      </c>
      <c r="E7" s="9" t="inlineStr">
        <is>
          <t>Not Run</t>
        </is>
      </c>
      <c r="F7" s="9" t="inlineStr"/>
      <c r="G7" s="9" t="inlineStr"/>
      <c r="H7" s="9" t="inlineStr"/>
    </row>
    <row r="8">
      <c r="A8" s="9" t="inlineStr">
        <is>
          <t>AF-086</t>
        </is>
      </c>
      <c r="B8" s="9" t="inlineStr">
        <is>
          <t>P1</t>
        </is>
      </c>
      <c r="C8" s="9" t="inlineStr">
        <is>
          <t>Customer + shippingAddressId of another customer</t>
        </is>
      </c>
      <c r="D8" s="9" t="inlineStr">
        <is>
          <t>400 "address not found for this customer"</t>
        </is>
      </c>
      <c r="E8" s="9" t="inlineStr">
        <is>
          <t>Not Run</t>
        </is>
      </c>
      <c r="F8" s="9" t="inlineStr"/>
      <c r="G8" s="9" t="inlineStr"/>
      <c r="H8" s="9" t="inlineStr"/>
    </row>
    <row r="9">
      <c r="A9" s="9" t="inlineStr">
        <is>
          <t>AF-087</t>
        </is>
      </c>
      <c r="B9" s="9" t="inlineStr">
        <is>
          <t>P1</t>
        </is>
      </c>
      <c r="C9" s="9" t="inlineStr">
        <is>
          <t>Soft-deleted / inactive address id</t>
        </is>
      </c>
      <c r="D9" s="9" t="inlineStr">
        <is>
          <t>400</t>
        </is>
      </c>
      <c r="E9" s="9" t="inlineStr">
        <is>
          <t>Not Run</t>
        </is>
      </c>
      <c r="F9" s="9" t="inlineStr"/>
      <c r="G9" s="9" t="inlineStr"/>
      <c r="H9" s="9" t="inlineStr"/>
    </row>
    <row r="10">
      <c r="A10" s="9" t="inlineStr">
        <is>
          <t>AF-088</t>
        </is>
      </c>
      <c r="B10" s="9" t="inlineStr">
        <is>
          <t>P1</t>
        </is>
      </c>
      <c r="C10" s="9" t="inlineStr">
        <is>
          <t>Customer + inline shippingAddress</t>
        </is>
      </c>
      <c r="D10" s="9" t="inlineStr">
        <is>
          <t>Order uses it; customer's saved addresses unchanged; profile unchanged</t>
        </is>
      </c>
      <c r="E10" s="9" t="inlineStr">
        <is>
          <t>Not Run</t>
        </is>
      </c>
      <c r="F10" s="9" t="inlineStr"/>
      <c r="G10" s="9" t="inlineStr"/>
      <c r="H10" s="9" t="inlineStr"/>
    </row>
    <row r="11">
      <c r="A11" s="9" t="inlineStr">
        <is>
          <t>AF-089</t>
        </is>
      </c>
      <c r="B11" s="9" t="inlineStr">
        <is>
          <t>P1</t>
        </is>
      </c>
      <c r="C11" s="9" t="inlineStr">
        <is>
          <t>Customer with neither address id nor address</t>
        </is>
      </c>
      <c r="D11" s="9" t="inlineStr">
        <is>
          <t>400 "Select a delivery address"</t>
        </is>
      </c>
      <c r="E11" s="9" t="inlineStr">
        <is>
          <t>Not Run</t>
        </is>
      </c>
      <c r="F11" s="9" t="inlineStr"/>
      <c r="G11" s="9" t="inlineStr"/>
      <c r="H11" s="9" t="inlineStr"/>
    </row>
    <row r="12">
      <c r="A12" s="9" t="inlineStr">
        <is>
          <t>AF-090</t>
        </is>
      </c>
      <c r="B12" s="9" t="inlineStr">
        <is>
          <t>P1</t>
        </is>
      </c>
      <c r="C12" s="9" t="inlineStr">
        <is>
          <t>Customer with 0 saved addresses in UI</t>
        </is>
      </c>
      <c r="D12" s="9" t="inlineStr">
        <is>
          <t>UI prompts to enter address, not blocked</t>
        </is>
      </c>
      <c r="E12" s="9" t="inlineStr">
        <is>
          <t>Not Run</t>
        </is>
      </c>
      <c r="F12" s="9" t="inlineStr"/>
      <c r="G12" s="9" t="inlineStr"/>
      <c r="H12" s="9" t="inlineStr"/>
    </row>
    <row r="13">
      <c r="A13" s="9" t="inlineStr">
        <is>
          <t>AF-095</t>
        </is>
      </c>
      <c r="B13" s="9" t="inlineStr">
        <is>
          <t>P0</t>
        </is>
      </c>
      <c r="C13" s="9" t="inlineStr">
        <is>
          <t>Valid manual customer + address</t>
        </is>
      </c>
      <c r="D13" s="9" t="inlineStr">
        <is>
          <t>No user created; order stores name/phone/email; userId = agent; agent=A; source AGENT_PLACED</t>
        </is>
      </c>
      <c r="E13" s="9" t="inlineStr">
        <is>
          <t>Not Run</t>
        </is>
      </c>
      <c r="F13" s="9" t="inlineStr"/>
      <c r="G13" s="9" t="inlineStr"/>
      <c r="H13" s="9" t="inlineStr"/>
    </row>
    <row r="14">
      <c r="A14" s="9" t="inlineStr">
        <is>
          <t>AF-096</t>
        </is>
      </c>
      <c r="B14" s="9" t="inlineStr">
        <is>
          <t>P1</t>
        </is>
      </c>
      <c r="C14" s="9" t="inlineStr">
        <is>
          <t>Same walk-in phone twice</t>
        </is>
      </c>
      <c r="D14" s="9" t="inlineStr">
        <is>
          <t>Two orders, still no user created (confirm no dedupe)</t>
        </is>
      </c>
      <c r="E14" s="9" t="inlineStr">
        <is>
          <t>Not Run</t>
        </is>
      </c>
      <c r="F14" s="9" t="inlineStr"/>
      <c r="G14" s="9" t="inlineStr"/>
      <c r="H14" s="9" t="inlineStr"/>
    </row>
    <row r="15">
      <c r="A15" s="9" t="inlineStr">
        <is>
          <t>AF-097</t>
        </is>
      </c>
      <c r="B15" s="9" t="inlineStr">
        <is>
          <t>P1</t>
        </is>
      </c>
      <c r="C15" s="9" t="inlineStr">
        <is>
          <t>Walk-in missing address</t>
        </is>
      </c>
      <c r="D15" s="9" t="inlineStr">
        <is>
          <t>400 "Delivery address is required"</t>
        </is>
      </c>
      <c r="E15" s="9" t="inlineStr">
        <is>
          <t>Not Run</t>
        </is>
      </c>
      <c r="F15" s="9" t="inlineStr"/>
      <c r="G15" s="9" t="inlineStr"/>
      <c r="H15" s="9" t="inlineStr"/>
    </row>
    <row r="16">
      <c r="A16" s="9" t="inlineStr">
        <is>
          <t>AF-098</t>
        </is>
      </c>
      <c r="B16" s="9" t="inlineStr">
        <is>
          <t>P1</t>
        </is>
      </c>
      <c r="C16" s="9" t="inlineStr">
        <is>
          <t>Walk-in email empty string / invalid / 255 chars</t>
        </is>
      </c>
      <c r="D16" s="9" t="inlineStr">
        <is>
          <t>"" ok → null; invalid/255 → 400</t>
        </is>
      </c>
      <c r="E16" s="9" t="inlineStr">
        <is>
          <t>Not Run</t>
        </is>
      </c>
      <c r="F16" s="9" t="inlineStr"/>
      <c r="G16" s="9" t="inlineStr"/>
      <c r="H16" s="9" t="inlineStr"/>
    </row>
    <row r="17">
      <c r="A17" s="9" t="inlineStr">
        <is>
          <t>AF-099</t>
        </is>
      </c>
      <c r="B17" s="9" t="inlineStr">
        <is>
          <t>P0</t>
        </is>
      </c>
      <c r="C17" s="9" t="inlineStr">
        <is>
          <t>Walk-in order appears in lists</t>
        </is>
      </c>
      <c r="D17" s="9" t="inlineStr">
        <is>
          <t>Customer column = walk-in name (not agent), admin detail "Not registered"</t>
        </is>
      </c>
      <c r="E17" s="9" t="inlineStr">
        <is>
          <t>Not Run</t>
        </is>
      </c>
      <c r="F17" s="9" t="inlineStr"/>
      <c r="G17" s="9" t="inlineStr"/>
      <c r="H17" s="9" t="inlineStr"/>
    </row>
    <row r="18">
      <c r="A18" s="9" t="inlineStr">
        <is>
          <t>AF-100</t>
        </is>
      </c>
      <c r="B18" s="9" t="inlineStr">
        <is>
          <t>P0</t>
        </is>
      </c>
      <c r="C18" s="9" t="inlineStr">
        <is>
          <t>Walk-in order not counted as agent's own purchase</t>
        </is>
      </c>
      <c r="D18" s="9" t="inlineStr">
        <is>
          <t>Not in "Agent Own" tab</t>
        </is>
      </c>
      <c r="E18" s="9" t="inlineStr">
        <is>
          <t>Not Run</t>
        </is>
      </c>
      <c r="F18" s="9" t="inlineStr"/>
      <c r="G18" s="9" t="inlineStr"/>
      <c r="H18" s="9" t="inlineStr"/>
    </row>
    <row r="19">
      <c r="A19" s="9" t="inlineStr">
        <is>
          <t>AF-101</t>
        </is>
      </c>
      <c r="B19" s="9" t="inlineStr">
        <is>
          <t>P1</t>
        </is>
      </c>
      <c r="C19" s="9" t="inlineStr">
        <is>
          <t>Walk-in cancels/returns</t>
        </is>
      </c>
      <c r="D19" s="9" t="inlineStr">
        <is>
          <t>Handled (no customer account): admin flow works; commission voided</t>
        </is>
      </c>
      <c r="E19" s="9" t="inlineStr">
        <is>
          <t>Not Run</t>
        </is>
      </c>
      <c r="F19" s="9" t="inlineStr"/>
      <c r="G19" s="9" t="inlineStr"/>
      <c r="H19" s="9" t="inlineStr"/>
    </row>
    <row r="20">
      <c r="A20" s="9" t="inlineStr">
        <is>
          <t>AF-102</t>
        </is>
      </c>
      <c r="B20" s="9" t="inlineStr">
        <is>
          <t>P1</t>
        </is>
      </c>
      <c r="C20" s="9" t="inlineStr">
        <is>
          <t>Walk-in phone equals an existing registered customer's phone</t>
        </is>
      </c>
      <c r="D20" s="9" t="inlineStr">
        <is>
          <t>No auto-linking; confirm expected</t>
        </is>
      </c>
      <c r="E20" s="9" t="inlineStr">
        <is>
          <t>Not Run</t>
        </is>
      </c>
      <c r="F20" s="9" t="inlineStr"/>
      <c r="G20" s="9" t="inlineStr"/>
      <c r="H20" s="9" t="inlineStr"/>
    </row>
    <row r="21">
      <c r="A21" s="9" t="inlineStr">
        <is>
          <t>AF-105</t>
        </is>
      </c>
      <c r="B21" s="9" t="inlineStr">
        <is>
          <t>P1</t>
        </is>
      </c>
      <c r="C21" s="9" t="inlineStr">
        <is>
          <t>Name</t>
        </is>
      </c>
      <c r="D21" s="9" t="inlineStr">
        <is>
          <t>1 char ✗, 2 ✓, 150 ✓, 151 ✗, spaces trimmed</t>
        </is>
      </c>
      <c r="E21" s="9" t="inlineStr">
        <is>
          <t>Not Run</t>
        </is>
      </c>
      <c r="F21" s="9" t="inlineStr"/>
      <c r="G21" s="9" t="inlineStr"/>
      <c r="H21" s="9" t="inlineStr"/>
    </row>
    <row r="22">
      <c r="A22" s="9" t="inlineStr">
        <is>
          <t>AF-106</t>
        </is>
      </c>
      <c r="B22" s="9" t="inlineStr">
        <is>
          <t>P1</t>
        </is>
      </c>
      <c r="C22" s="9" t="inlineStr">
        <is>
          <t>Mobile</t>
        </is>
      </c>
      <c r="D22" s="9" t="inlineStr">
        <is>
          <t>9 digits ✗, 10 ✓, starts with 0-5 (check mobileRegex), +91 prefix, letters ✗</t>
        </is>
      </c>
      <c r="E22" s="9" t="inlineStr">
        <is>
          <t>Not Run</t>
        </is>
      </c>
      <c r="F22" s="9" t="inlineStr"/>
      <c r="G22" s="9" t="inlineStr"/>
      <c r="H22" s="9" t="inlineStr"/>
    </row>
    <row r="23">
      <c r="A23" s="9" t="inlineStr">
        <is>
          <t>AF-107</t>
        </is>
      </c>
      <c r="B23" s="9" t="inlineStr">
        <is>
          <t>P1</t>
        </is>
      </c>
      <c r="C23" s="9" t="inlineStr">
        <is>
          <t>Pincode</t>
        </is>
      </c>
      <c r="D23" s="9" t="inlineStr">
        <is>
          <t>5 ✗, 6 ✓, 7 ✗, letters ✗; unserviceable pincode (if shipping table limits)</t>
        </is>
      </c>
      <c r="E23" s="9" t="inlineStr">
        <is>
          <t>Not Run</t>
        </is>
      </c>
      <c r="F23" s="9" t="inlineStr"/>
      <c r="G23" s="9" t="inlineStr"/>
      <c r="H23" s="9" t="inlineStr"/>
    </row>
    <row r="24">
      <c r="A24" s="9" t="inlineStr">
        <is>
          <t>AF-108</t>
        </is>
      </c>
      <c r="B24" s="9" t="inlineStr">
        <is>
          <t>P1</t>
        </is>
      </c>
      <c r="C24" s="9" t="inlineStr">
        <is>
          <t>addressLine1</t>
        </is>
      </c>
      <c r="D24" s="9" t="inlineStr">
        <is>
          <t>2 ✗, 3 ✓, 255 ✓, 256 ✗</t>
        </is>
      </c>
      <c r="E24" s="9" t="inlineStr">
        <is>
          <t>Not Run</t>
        </is>
      </c>
      <c r="F24" s="9" t="inlineStr"/>
      <c r="G24" s="9" t="inlineStr"/>
      <c r="H24" s="9" t="inlineStr"/>
    </row>
    <row r="25">
      <c r="A25" s="9" t="inlineStr">
        <is>
          <t>AF-109</t>
        </is>
      </c>
      <c r="B25" s="9" t="inlineStr">
        <is>
          <t>P1</t>
        </is>
      </c>
      <c r="C25" s="9" t="inlineStr">
        <is>
          <t>city/state</t>
        </is>
      </c>
      <c r="D25" s="9" t="inlineStr">
        <is>
          <t>1 ✗, 2 ✓, 100 ✓, 101 ✗; unknown state → shipping rate default?</t>
        </is>
      </c>
      <c r="E25" s="9" t="inlineStr">
        <is>
          <t>Not Run</t>
        </is>
      </c>
      <c r="F25" s="9" t="inlineStr"/>
      <c r="G25" s="9" t="inlineStr"/>
      <c r="H25" s="9" t="inlineStr"/>
    </row>
    <row r="26">
      <c r="A26" s="9" t="inlineStr">
        <is>
          <t>AF-110</t>
        </is>
      </c>
      <c r="B26" s="9" t="inlineStr">
        <is>
          <t>P1</t>
        </is>
      </c>
      <c r="C26" s="9" t="inlineStr">
        <is>
          <t>notes</t>
        </is>
      </c>
      <c r="D26" s="9" t="inlineStr">
        <is>
          <t>500 ✓, 501 ✗</t>
        </is>
      </c>
      <c r="E26" s="9" t="inlineStr">
        <is>
          <t>Not Run</t>
        </is>
      </c>
      <c r="F26" s="9" t="inlineStr"/>
      <c r="G26" s="9" t="inlineStr"/>
      <c r="H26" s="9" t="inlineStr"/>
    </row>
    <row r="27">
      <c r="A27" s="9" t="inlineStr">
        <is>
          <t>AF-111</t>
        </is>
      </c>
      <c r="B27" s="9" t="inlineStr">
        <is>
          <t>P1</t>
        </is>
      </c>
      <c r="C27" s="9" t="inlineStr">
        <is>
          <t>deliveryMethod</t>
        </is>
      </c>
      <c r="D27" s="9" t="inlineStr">
        <is>
          <t>standard, express, omitted (=standard), foo ✗</t>
        </is>
      </c>
      <c r="E27" s="9" t="inlineStr">
        <is>
          <t>Not Run</t>
        </is>
      </c>
      <c r="F27" s="9" t="inlineStr"/>
      <c r="G27" s="9" t="inlineStr"/>
      <c r="H27" s="9" t="inlineStr"/>
    </row>
    <row r="28">
      <c r="A28" s="9" t="inlineStr">
        <is>
          <t>AF-112</t>
        </is>
      </c>
      <c r="B28" s="9" t="inlineStr">
        <is>
          <t>P1</t>
        </is>
      </c>
      <c r="C28" s="9" t="inlineStr">
        <is>
          <t>items</t>
        </is>
      </c>
      <c r="D28" s="9" t="inlineStr">
        <is>
          <t>[] ✗, 51 lines ✗, qty 0/-1/1.5/1000 ✗, 999 ✓ (stock), qty as string ✗</t>
        </is>
      </c>
      <c r="E28" s="9" t="inlineStr">
        <is>
          <t>Not Run</t>
        </is>
      </c>
      <c r="F28" s="9" t="inlineStr"/>
      <c r="G28" s="9" t="inlineStr"/>
      <c r="H28" s="9" t="inlineStr"/>
    </row>
    <row r="29">
      <c r="A29" s="9" t="inlineStr">
        <is>
          <t>AF-113</t>
        </is>
      </c>
      <c r="B29" s="9" t="inlineStr">
        <is>
          <t>P2</t>
        </is>
      </c>
      <c r="C29" s="9" t="inlineStr">
        <is>
          <t>XSS in names/notes &lt;img onerror&gt;</t>
        </is>
      </c>
      <c r="D29" s="9" t="inlineStr">
        <is>
          <t>Stored escaped; admin/customer views don't execute</t>
        </is>
      </c>
      <c r="E29" s="9" t="inlineStr">
        <is>
          <t>Not Run</t>
        </is>
      </c>
      <c r="F29" s="9" t="inlineStr"/>
      <c r="G29" s="9" t="inlineStr"/>
      <c r="H29" s="9" t="inlineStr"/>
    </row>
    <row r="30">
      <c r="A30" s="9" t="inlineStr">
        <is>
          <t>AF-120</t>
        </is>
      </c>
      <c r="B30" s="9" t="inlineStr">
        <is>
          <t>P0</t>
        </is>
      </c>
      <c r="C30" s="9" t="inlineStr">
        <is>
          <t>Tamper price in payload</t>
        </is>
      </c>
      <c r="D30" s="9" t="inlineStr">
        <is>
          <t>Ignored; DB base_price used</t>
        </is>
      </c>
      <c r="E30" s="9" t="inlineStr">
        <is>
          <t>Not Run</t>
        </is>
      </c>
      <c r="F30" s="9" t="inlineStr"/>
      <c r="G30" s="9" t="inlineStr"/>
      <c r="H30" s="9" t="inlineStr"/>
    </row>
    <row r="31">
      <c r="A31" s="9" t="inlineStr">
        <is>
          <t>AF-121</t>
        </is>
      </c>
      <c r="B31" s="9" t="inlineStr">
        <is>
          <t>P0</t>
        </is>
      </c>
      <c r="C31" s="9" t="inlineStr">
        <is>
          <t>Item offer / bundle active</t>
        </is>
      </c>
      <c r="D31" s="9" t="inlineStr">
        <is>
          <t>Same discount as storefront (priceCartItems)</t>
        </is>
      </c>
      <c r="E31" s="9" t="inlineStr">
        <is>
          <t>Not Run</t>
        </is>
      </c>
      <c r="F31" s="9" t="inlineStr"/>
      <c r="G31" s="9" t="inlineStr"/>
      <c r="H31" s="9" t="inlineStr"/>
    </row>
    <row r="32">
      <c r="A32" s="9" t="inlineStr">
        <is>
          <t>AF-122</t>
        </is>
      </c>
      <c r="B32" s="9" t="inlineStr">
        <is>
          <t>P0</t>
        </is>
      </c>
      <c r="C32" s="9" t="inlineStr">
        <is>
          <t>Coupon not applicable to agent orders</t>
        </is>
      </c>
      <c r="D32" s="9" t="inlineStr">
        <is>
          <t>Confirm no coupon field; totals = subtotal − item discount + shipping</t>
        </is>
      </c>
      <c r="E32" s="9" t="inlineStr">
        <is>
          <t>Not Run</t>
        </is>
      </c>
      <c r="F32" s="9" t="inlineStr"/>
      <c r="G32" s="9" t="inlineStr"/>
      <c r="H32" s="9" t="inlineStr"/>
    </row>
    <row r="33">
      <c r="A33" s="9" t="inlineStr">
        <is>
          <t>AF-123</t>
        </is>
      </c>
      <c r="B33" s="9" t="inlineStr">
        <is>
          <t>P0</t>
        </is>
      </c>
      <c r="C33" s="9" t="inlineStr">
        <is>
          <t>Qty = stock</t>
        </is>
      </c>
      <c r="D33" s="9" t="inlineStr">
        <is>
          <t>Order ok; stock → 0; ledger row via recordStockMovement</t>
        </is>
      </c>
      <c r="E33" s="9" t="inlineStr">
        <is>
          <t>Not Run</t>
        </is>
      </c>
      <c r="F33" s="9" t="inlineStr"/>
      <c r="G33" s="9" t="inlineStr"/>
      <c r="H33" s="9" t="inlineStr"/>
    </row>
    <row r="34">
      <c r="A34" s="9" t="inlineStr">
        <is>
          <t>AF-124</t>
        </is>
      </c>
      <c r="B34" s="9" t="inlineStr">
        <is>
          <t>P0</t>
        </is>
      </c>
      <c r="C34" s="9" t="inlineStr">
        <is>
          <t>Qty &gt; stock</t>
        </is>
      </c>
      <c r="D34" s="9" t="inlineStr">
        <is>
          <t>400 "Only N left…"; no order, no stock change</t>
        </is>
      </c>
      <c r="E34" s="9" t="inlineStr">
        <is>
          <t>Not Run</t>
        </is>
      </c>
      <c r="F34" s="9" t="inlineStr"/>
      <c r="G34" s="9" t="inlineStr"/>
      <c r="H34" s="9" t="inlineStr"/>
    </row>
    <row r="35">
      <c r="A35" s="9" t="inlineStr">
        <is>
          <t>AF-125</t>
        </is>
      </c>
      <c r="B35" s="9" t="inlineStr">
        <is>
          <t>P0</t>
        </is>
      </c>
      <c r="C35" s="9" t="inlineStr">
        <is>
          <t>Duplicate lines same SKU (3+4, stock 5)</t>
        </is>
      </c>
      <c r="D35" s="9" t="inlineStr">
        <is>
          <t>Merged to 7 → rejected with combined check</t>
        </is>
      </c>
      <c r="E35" s="9" t="inlineStr">
        <is>
          <t>Not Run</t>
        </is>
      </c>
      <c r="F35" s="9" t="inlineStr"/>
      <c r="G35" s="9" t="inlineStr"/>
      <c r="H35" s="9" t="inlineStr"/>
    </row>
    <row r="36">
      <c r="A36" s="9" t="inlineStr">
        <is>
          <t>AF-126</t>
        </is>
      </c>
      <c r="B36" s="9" t="inlineStr">
        <is>
          <t>P0</t>
        </is>
      </c>
      <c r="C36" s="9" t="inlineStr">
        <is>
          <t>Inactive product / variant / item / price row / soft-deleted</t>
        </is>
      </c>
      <c r="D36" s="9" t="inlineStr">
        <is>
          <t>400 "no longer available"</t>
        </is>
      </c>
      <c r="E36" s="9" t="inlineStr">
        <is>
          <t>Not Run</t>
        </is>
      </c>
      <c r="F36" s="9" t="inlineStr"/>
      <c r="G36" s="9" t="inlineStr"/>
      <c r="H36" s="9" t="inlineStr"/>
    </row>
    <row r="37">
      <c r="A37" s="9" t="inlineStr">
        <is>
          <t>AF-127</t>
        </is>
      </c>
      <c r="B37" s="9" t="inlineStr">
        <is>
          <t>P0</t>
        </is>
      </c>
      <c r="C37" s="9" t="inlineStr">
        <is>
          <t>Unknown variantUnitPriceId</t>
        </is>
      </c>
      <c r="D37" s="9" t="inlineStr">
        <is>
          <t>400, not 500</t>
        </is>
      </c>
      <c r="E37" s="9" t="inlineStr">
        <is>
          <t>Not Run</t>
        </is>
      </c>
      <c r="F37" s="9" t="inlineStr"/>
      <c r="G37" s="9" t="inlineStr"/>
      <c r="H37" s="9" t="inlineStr"/>
    </row>
    <row r="38">
      <c r="A38" s="9" t="inlineStr">
        <is>
          <t>AF-128</t>
        </is>
      </c>
      <c r="B38" s="9" t="inlineStr">
        <is>
          <t>P0</t>
        </is>
      </c>
      <c r="C38" s="9" t="inlineStr">
        <is>
          <t>Two agents order last unit simultaneously</t>
        </is>
      </c>
      <c r="D38" s="9" t="inlineStr">
        <is>
          <t>One succeeds; other fails; stock never negative</t>
        </is>
      </c>
      <c r="E38" s="9" t="inlineStr">
        <is>
          <t>Not Run</t>
        </is>
      </c>
      <c r="F38" s="9" t="inlineStr"/>
      <c r="G38" s="9" t="inlineStr"/>
      <c r="H38" s="9" t="inlineStr"/>
    </row>
    <row r="39">
      <c r="A39" s="9" t="inlineStr">
        <is>
          <t>AF-129</t>
        </is>
      </c>
      <c r="B39" s="9" t="inlineStr">
        <is>
          <t>P1</t>
        </is>
      </c>
      <c r="C39" s="9" t="inlineStr">
        <is>
          <t>Agent order + customer order race on last unit</t>
        </is>
      </c>
      <c r="D39" s="9" t="inlineStr">
        <is>
          <t>Same as above</t>
        </is>
      </c>
      <c r="E39" s="9" t="inlineStr">
        <is>
          <t>Not Run</t>
        </is>
      </c>
      <c r="F39" s="9" t="inlineStr"/>
      <c r="G39" s="9" t="inlineStr"/>
      <c r="H39" s="9" t="inlineStr"/>
    </row>
    <row r="40">
      <c r="A40" s="9" t="inlineStr">
        <is>
          <t>AF-130</t>
        </is>
      </c>
      <c r="B40" s="9" t="inlineStr">
        <is>
          <t>P1</t>
        </is>
      </c>
      <c r="C40" s="9" t="inlineStr">
        <is>
          <t>Shipping: in-state vs out-of-state, standard vs express</t>
        </is>
      </c>
      <c r="D40" s="9" t="inlineStr">
        <is>
          <t>Matches getShippingCharge; total = subtotal − discount + shipping</t>
        </is>
      </c>
      <c r="E40" s="9" t="inlineStr">
        <is>
          <t>Not Run</t>
        </is>
      </c>
      <c r="F40" s="9" t="inlineStr"/>
      <c r="G40" s="9" t="inlineStr"/>
      <c r="H40" s="9" t="inlineStr"/>
    </row>
    <row r="41">
      <c r="A41" s="9" t="inlineStr">
        <is>
          <t>AF-131</t>
        </is>
      </c>
      <c r="B41" s="9" t="inlineStr">
        <is>
          <t>P1</t>
        </is>
      </c>
      <c r="C41" s="9" t="inlineStr">
        <is>
          <t>Order number format/uniqueness, 2 orders same ms</t>
        </is>
      </c>
      <c r="D41" s="9" t="inlineStr">
        <is>
          <t>Unique</t>
        </is>
      </c>
      <c r="E41" s="9" t="inlineStr">
        <is>
          <t>Not Run</t>
        </is>
      </c>
      <c r="F41" s="9" t="inlineStr"/>
      <c r="G41" s="9" t="inlineStr"/>
      <c r="H41" s="9" t="inlineStr"/>
    </row>
    <row r="42">
      <c r="A42" s="9" t="inlineStr">
        <is>
          <t>AF-132</t>
        </is>
      </c>
      <c r="B42" s="9" t="inlineStr">
        <is>
          <t>P1</t>
        </is>
      </c>
      <c r="C42" s="9" t="inlineStr">
        <is>
          <t>Order confirmation email/WhatsApp to customer</t>
        </is>
      </c>
      <c r="D42" s="9" t="inlineStr">
        <is>
          <t>Sent (or not) per design; no crash for walk-in without email</t>
        </is>
      </c>
      <c r="E42" s="9" t="inlineStr">
        <is>
          <t>Not Run</t>
        </is>
      </c>
      <c r="F42" s="9" t="inlineStr"/>
      <c r="G42" s="9" t="inlineStr"/>
      <c r="H42" s="9" t="inlineStr"/>
    </row>
    <row r="43">
      <c r="A43" s="9" t="inlineStr">
        <is>
          <t>AF-133</t>
        </is>
      </c>
      <c r="B43" s="9" t="inlineStr">
        <is>
          <t>P1</t>
        </is>
      </c>
      <c r="C43" s="9" t="inlineStr">
        <is>
          <t>Order visible to customer C in their account</t>
        </is>
      </c>
      <c r="D43" s="9" t="inlineStr">
        <is>
          <t>Yes with source label; walk-in has none</t>
        </is>
      </c>
      <c r="E43" s="9" t="inlineStr">
        <is>
          <t>Not Run</t>
        </is>
      </c>
      <c r="F43" s="9" t="inlineStr"/>
      <c r="G43" s="9" t="inlineStr"/>
      <c r="H43" s="9" t="inlineStr"/>
    </row>
    <row r="44">
      <c r="A44" s="9" t="inlineStr">
        <is>
          <t>AF-134</t>
        </is>
      </c>
      <c r="B44" s="9" t="inlineStr">
        <is>
          <t>P1</t>
        </is>
      </c>
      <c r="C44" s="9" t="inlineStr">
        <is>
          <t>Atomicity: force failure after order insert (e.g., commission error)</t>
        </is>
      </c>
      <c r="D44" s="9" t="inlineStr">
        <is>
          <t>Whole transaction rolled back: no order, no stock deduction</t>
        </is>
      </c>
      <c r="E44" s="9" t="inlineStr">
        <is>
          <t>Not Run</t>
        </is>
      </c>
      <c r="F44" s="9" t="inlineStr"/>
      <c r="G44" s="9" t="inlineStr"/>
      <c r="H44" s="9" t="inlineStr"/>
    </row>
    <row r="45">
      <c r="A45" s="9" t="inlineStr">
        <is>
          <t>AF-135</t>
        </is>
      </c>
      <c r="B45" s="9" t="inlineStr">
        <is>
          <t>P1</t>
        </is>
      </c>
      <c r="C45" s="9" t="inlineStr">
        <is>
          <t>Double-click Place Order / retry on timeout</t>
        </is>
      </c>
      <c r="D45" s="9" t="inlineStr">
        <is>
          <t>One order only (button disabled; consider idempotency)</t>
        </is>
      </c>
      <c r="E45" s="9" t="inlineStr">
        <is>
          <t>Not Run</t>
        </is>
      </c>
      <c r="F45" s="9" t="inlineStr"/>
      <c r="G45" s="9" t="inlineStr"/>
      <c r="H45" s="9" t="inlineStr"/>
    </row>
    <row r="46">
      <c r="A46" s="9" t="inlineStr">
        <is>
          <t>AF-136</t>
        </is>
      </c>
      <c r="B46" s="9" t="inlineStr">
        <is>
          <t>P1</t>
        </is>
      </c>
      <c r="C46" s="9" t="inlineStr">
        <is>
          <t>Agent session expired mid-form</t>
        </is>
      </c>
      <c r="D46" s="9" t="inlineStr">
        <is>
          <t>401 → redirect login, data not lost silently</t>
        </is>
      </c>
      <c r="E46" s="9" t="inlineStr">
        <is>
          <t>Not Run</t>
        </is>
      </c>
      <c r="F46" s="9" t="inlineStr"/>
      <c r="G46" s="9" t="inlineStr"/>
      <c r="H46" s="9" t="inlineStr"/>
    </row>
    <row r="47">
      <c r="A47" s="9" t="inlineStr">
        <is>
          <t>AF-137</t>
        </is>
      </c>
      <c r="B47" s="9" t="inlineStr">
        <is>
          <t>P0</t>
        </is>
      </c>
      <c r="C47" s="9" t="inlineStr">
        <is>
          <t>Agent deactivated mid-session then places order</t>
        </is>
      </c>
      <c r="D47" s="9" t="inlineStr">
        <is>
          <t>Must be blocked (verify auth middleware rechecks active; placeOrder itself does not)</t>
        </is>
      </c>
      <c r="E47" s="9" t="inlineStr">
        <is>
          <t>Not Run</t>
        </is>
      </c>
      <c r="F47" s="9" t="inlineStr"/>
      <c r="G47" s="9" t="inlineStr"/>
      <c r="H47" s="9" t="inlineStr"/>
    </row>
    <row r="48">
      <c r="A48" s="9" t="inlineStr">
        <is>
          <t>AF-138</t>
        </is>
      </c>
      <c r="B48" s="9" t="inlineStr">
        <is>
          <t>P1</t>
        </is>
      </c>
      <c r="C48" s="9" t="inlineStr">
        <is>
          <t>Order-catalog /api/agent/order-catalog</t>
        </is>
      </c>
      <c r="D48" s="9" t="inlineStr">
        <is>
          <t>Only active, in-stock-aware items; search/pagination; no cost price leaked</t>
        </is>
      </c>
      <c r="E48" s="9" t="inlineStr">
        <is>
          <t>Not Run</t>
        </is>
      </c>
      <c r="F48" s="9" t="inlineStr"/>
      <c r="G48" s="9" t="inlineStr"/>
      <c r="H48" s="9" t="inlineStr"/>
    </row>
  </sheetData>
  <autoFilter ref="A1:H48"/>
  <conditionalFormatting sqref="E2:E48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</conditionalFormatting>
  <dataValidations count="1">
    <dataValidation sqref="E2:E48" showDropDown="0" showInputMessage="0" showErrorMessage="0" allowBlank="1" type="list">
      <formula1>"Not Run,Pass,Fail,Blocked,N/A"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6" customWidth="1" min="2" max="2"/>
    <col width="48" customWidth="1" min="3" max="3"/>
    <col width="48" customWidth="1" min="4" max="4"/>
    <col width="11" customWidth="1" min="5" max="5"/>
    <col width="12" customWidth="1" min="6" max="6"/>
    <col width="12" customWidth="1" min="7" max="7"/>
    <col width="28" customWidth="1" min="8" max="8"/>
  </cols>
  <sheetData>
    <row r="1">
      <c r="A1" s="8" t="inlineStr">
        <is>
          <t>ID</t>
        </is>
      </c>
      <c r="B1" s="8" t="inlineStr">
        <is>
          <t>P</t>
        </is>
      </c>
      <c r="C1" s="8" t="inlineStr">
        <is>
          <t>Scenario</t>
        </is>
      </c>
      <c r="D1" s="8" t="inlineStr">
        <is>
          <t>Expected</t>
        </is>
      </c>
      <c r="E1" s="8" t="inlineStr">
        <is>
          <t>Status</t>
        </is>
      </c>
      <c r="F1" s="8" t="inlineStr">
        <is>
          <t>Tester</t>
        </is>
      </c>
      <c r="G1" s="8" t="inlineStr">
        <is>
          <t>Date</t>
        </is>
      </c>
      <c r="H1" s="8" t="inlineStr">
        <is>
          <t>Remarks</t>
        </is>
      </c>
    </row>
    <row r="2">
      <c r="A2" s="9" t="inlineStr">
        <is>
          <t>AF-140</t>
        </is>
      </c>
      <c r="B2" s="9" t="inlineStr">
        <is>
          <t>P0</t>
        </is>
      </c>
      <c r="C2" s="9" t="inlineStr">
        <is>
          <t>Order with 3 items, different categories</t>
        </is>
      </c>
      <c r="D2" s="9" t="inlineStr">
        <is>
          <t>3 commission rows, each with own %, rate_source</t>
        </is>
      </c>
      <c r="E2" s="9" t="inlineStr">
        <is>
          <t>Not Run</t>
        </is>
      </c>
      <c r="F2" s="9" t="inlineStr"/>
      <c r="G2" s="9" t="inlineStr"/>
      <c r="H2" s="9" t="inlineStr"/>
    </row>
    <row r="3">
      <c r="A3" s="9" t="inlineStr">
        <is>
          <t>AF-141</t>
        </is>
      </c>
      <c r="B3" s="9" t="inlineStr">
        <is>
          <t>P0</t>
        </is>
      </c>
      <c r="C3" s="9" t="inlineStr">
        <is>
          <t>Rate priority: product 5%, category 3%, global 1%</t>
        </is>
      </c>
      <c r="D3" s="9" t="inlineStr">
        <is>
          <t>Product wins; remove product rate → category; remove → global; remove → none/no row</t>
        </is>
      </c>
      <c r="E3" s="9" t="inlineStr">
        <is>
          <t>Not Run</t>
        </is>
      </c>
      <c r="F3" s="9" t="inlineStr"/>
      <c r="G3" s="9" t="inlineStr"/>
      <c r="H3" s="9" t="inlineStr"/>
    </row>
    <row r="4">
      <c r="A4" s="9" t="inlineStr">
        <is>
          <t>AF-142</t>
        </is>
      </c>
      <c r="B4" s="9" t="inlineStr">
        <is>
          <t>P0</t>
        </is>
      </c>
      <c r="C4" s="9" t="inlineStr">
        <is>
          <t>Child category without rate, parent has</t>
        </is>
      </c>
      <c r="D4" s="9" t="inlineStr">
        <is>
          <t>Parent rate used (walk up)</t>
        </is>
      </c>
      <c r="E4" s="9" t="inlineStr">
        <is>
          <t>Not Run</t>
        </is>
      </c>
      <c r="F4" s="9" t="inlineStr"/>
      <c r="G4" s="9" t="inlineStr"/>
      <c r="H4" s="9" t="inlineStr"/>
    </row>
    <row r="5">
      <c r="A5" s="9" t="inlineStr">
        <is>
          <t>AF-143</t>
        </is>
      </c>
      <c r="B5" s="9" t="inlineStr">
        <is>
          <t>P0</t>
        </is>
      </c>
      <c r="C5" s="9" t="inlineStr">
        <is>
          <t>Inactive rate ignored</t>
        </is>
      </c>
      <c r="D5" s="9" t="inlineStr">
        <is>
          <t>Falls to next level</t>
        </is>
      </c>
      <c r="E5" s="9" t="inlineStr">
        <is>
          <t>Not Run</t>
        </is>
      </c>
      <c r="F5" s="9" t="inlineStr"/>
      <c r="G5" s="9" t="inlineStr"/>
      <c r="H5" s="9" t="inlineStr"/>
    </row>
    <row r="6">
      <c r="A6" s="9" t="inlineStr">
        <is>
          <t>AF-144</t>
        </is>
      </c>
      <c r="B6" s="9" t="inlineStr">
        <is>
          <t>P0</t>
        </is>
      </c>
      <c r="C6" s="9" t="inlineStr">
        <is>
          <t>Rounding: ₹99.99 × 2.5% ; ₹1 × 0.5% ; ₹0.01</t>
        </is>
      </c>
      <c r="D6" s="9" t="inlineStr">
        <is>
          <t>round(paise × bp / 10000); check sum vs order-level commission_amount</t>
        </is>
      </c>
      <c r="E6" s="9" t="inlineStr">
        <is>
          <t>Not Run</t>
        </is>
      </c>
      <c r="F6" s="9" t="inlineStr"/>
      <c r="G6" s="9" t="inlineStr"/>
      <c r="H6" s="9" t="inlineStr"/>
    </row>
    <row r="7">
      <c r="A7" s="9" t="inlineStr">
        <is>
          <t>AF-145</t>
        </is>
      </c>
      <c r="B7" s="9" t="inlineStr">
        <is>
          <t>P0</t>
        </is>
      </c>
      <c r="C7" s="9" t="inlineStr">
        <is>
          <t>Item discount applied</t>
        </is>
      </c>
      <c r="D7" s="9" t="inlineStr">
        <is>
          <t>Commission on discounted total_price, not MRP</t>
        </is>
      </c>
      <c r="E7" s="9" t="inlineStr">
        <is>
          <t>Not Run</t>
        </is>
      </c>
      <c r="F7" s="9" t="inlineStr"/>
      <c r="G7" s="9" t="inlineStr"/>
      <c r="H7" s="9" t="inlineStr"/>
    </row>
    <row r="8">
      <c r="A8" s="9" t="inlineStr">
        <is>
          <t>AF-146</t>
        </is>
      </c>
      <c r="B8" s="9" t="inlineStr">
        <is>
          <t>P0</t>
        </is>
      </c>
      <c r="C8" s="9" t="inlineStr">
        <is>
          <t>Shipping excluded</t>
        </is>
      </c>
      <c r="D8" s="9" t="inlineStr">
        <is>
          <t>Change shipping, commission unchanged</t>
        </is>
      </c>
      <c r="E8" s="9" t="inlineStr">
        <is>
          <t>Not Run</t>
        </is>
      </c>
      <c r="F8" s="9" t="inlineStr"/>
      <c r="G8" s="9" t="inlineStr"/>
      <c r="H8" s="9" t="inlineStr"/>
    </row>
    <row r="9">
      <c r="A9" s="9" t="inlineStr">
        <is>
          <t>AF-147</t>
        </is>
      </c>
      <c r="B9" s="9" t="inlineStr">
        <is>
          <t>P0</t>
        </is>
      </c>
      <c r="C9" s="9" t="inlineStr">
        <is>
          <t>Rate 0% / no rate</t>
        </is>
      </c>
      <c r="D9" s="9" t="inlineStr">
        <is>
          <t>No commission row; order.commission_amount stays 0/null</t>
        </is>
      </c>
      <c r="E9" s="9" t="inlineStr">
        <is>
          <t>Not Run</t>
        </is>
      </c>
      <c r="F9" s="9" t="inlineStr"/>
      <c r="G9" s="9" t="inlineStr"/>
      <c r="H9" s="9" t="inlineStr"/>
    </row>
    <row r="10">
      <c r="A10" s="9" t="inlineStr">
        <is>
          <t>AF-148</t>
        </is>
      </c>
      <c r="B10" s="9" t="inlineStr">
        <is>
          <t>P0</t>
        </is>
      </c>
      <c r="C10" s="9" t="inlineStr">
        <is>
          <t>Fully discounted item (amount 0)</t>
        </is>
      </c>
      <c r="D10" s="9" t="inlineStr">
        <is>
          <t>No row</t>
        </is>
      </c>
      <c r="E10" s="9" t="inlineStr">
        <is>
          <t>Not Run</t>
        </is>
      </c>
      <c r="F10" s="9" t="inlineStr"/>
      <c r="G10" s="9" t="inlineStr"/>
      <c r="H10" s="9" t="inlineStr"/>
    </row>
    <row r="11">
      <c r="A11" s="9" t="inlineStr">
        <is>
          <t>AF-149</t>
        </is>
      </c>
      <c r="B11" s="9" t="inlineStr">
        <is>
          <t>P0</t>
        </is>
      </c>
      <c r="C11" s="9" t="inlineStr">
        <is>
          <t>Change rate after order</t>
        </is>
      </c>
      <c r="D11" s="9" t="inlineStr">
        <is>
          <t>Existing rows unchanged; new order uses new rate</t>
        </is>
      </c>
      <c r="E11" s="9" t="inlineStr">
        <is>
          <t>Not Run</t>
        </is>
      </c>
      <c r="F11" s="9" t="inlineStr"/>
      <c r="G11" s="9" t="inlineStr"/>
      <c r="H11" s="9" t="inlineStr"/>
    </row>
    <row r="12">
      <c r="A12" s="9" t="inlineStr">
        <is>
          <t>AF-150</t>
        </is>
      </c>
      <c r="B12" s="9" t="inlineStr">
        <is>
          <t>P0</t>
        </is>
      </c>
      <c r="C12" s="9" t="inlineStr">
        <is>
          <t>Duplicate protection</t>
        </is>
      </c>
      <c r="D12" s="9" t="inlineStr">
        <is>
          <t>Re-run create for same order → no duplicates (unique order_item_id)</t>
        </is>
      </c>
      <c r="E12" s="9" t="inlineStr">
        <is>
          <t>Not Run</t>
        </is>
      </c>
      <c r="F12" s="9" t="inlineStr"/>
      <c r="G12" s="9" t="inlineStr"/>
      <c r="H12" s="9" t="inlineStr"/>
    </row>
    <row r="13">
      <c r="A13" s="9" t="inlineStr">
        <is>
          <t>AF-151</t>
        </is>
      </c>
      <c r="B13" s="9" t="inlineStr">
        <is>
          <t>P0</t>
        </is>
      </c>
      <c r="C13" s="9" t="inlineStr">
        <is>
          <t>Order with no agent</t>
        </is>
      </c>
      <c r="D13" s="9" t="inlineStr">
        <is>
          <t>Zero commission rows</t>
        </is>
      </c>
      <c r="E13" s="9" t="inlineStr">
        <is>
          <t>Not Run</t>
        </is>
      </c>
      <c r="F13" s="9" t="inlineStr"/>
      <c r="G13" s="9" t="inlineStr"/>
      <c r="H13" s="9" t="inlineStr"/>
    </row>
    <row r="14">
      <c r="A14" s="9" t="inlineStr">
        <is>
          <t>AF-152</t>
        </is>
      </c>
      <c r="B14" s="9" t="inlineStr">
        <is>
          <t>P0</t>
        </is>
      </c>
      <c r="C14" s="9" t="inlineStr">
        <is>
          <t>Customer-direct order by agent himself with CUSTOMER_DIRECT source</t>
        </is>
      </c>
      <c r="D14" s="9" t="inlineStr">
        <is>
          <t>No commission (guard) – only reachable via data fix</t>
        </is>
      </c>
      <c r="E14" s="9" t="inlineStr">
        <is>
          <t>Not Run</t>
        </is>
      </c>
      <c r="F14" s="9" t="inlineStr"/>
      <c r="G14" s="9" t="inlineStr"/>
      <c r="H14" s="9" t="inlineStr"/>
    </row>
    <row r="15">
      <c r="A15" s="9" t="inlineStr">
        <is>
          <t>AF-153</t>
        </is>
      </c>
      <c r="B15" s="9" t="inlineStr">
        <is>
          <t>P1</t>
        </is>
      </c>
      <c r="C15" s="9" t="inlineStr">
        <is>
          <t>Order-level summary</t>
        </is>
      </c>
      <c r="D15" s="9" t="inlineStr">
        <is>
          <t>commission_percentage = blended %, commission_amount = sum</t>
        </is>
      </c>
      <c r="E15" s="9" t="inlineStr">
        <is>
          <t>Not Run</t>
        </is>
      </c>
      <c r="F15" s="9" t="inlineStr"/>
      <c r="G15" s="9" t="inlineStr"/>
      <c r="H15" s="9" t="inlineStr"/>
    </row>
    <row r="16">
      <c r="A16" s="9" t="inlineStr">
        <is>
          <t>AF-154</t>
        </is>
      </c>
      <c r="B16" s="9" t="inlineStr">
        <is>
          <t>P1</t>
        </is>
      </c>
      <c r="C16" s="9" t="inlineStr">
        <is>
          <t>customer_id on commission for walk-in</t>
        </is>
      </c>
      <c r="D16" s="9">
        <f> agent id; reports label as walk-in, not agent</f>
        <v/>
      </c>
      <c r="E16" s="9" t="inlineStr">
        <is>
          <t>Not Run</t>
        </is>
      </c>
      <c r="F16" s="9" t="inlineStr"/>
      <c r="G16" s="9" t="inlineStr"/>
      <c r="H16" s="9" t="inlineStr"/>
    </row>
    <row r="17">
      <c r="A17" s="9" t="inlineStr">
        <is>
          <t>AF-155</t>
        </is>
      </c>
      <c r="B17" s="9" t="inlineStr">
        <is>
          <t>P0</t>
        </is>
      </c>
      <c r="C17" s="9" t="inlineStr">
        <is>
          <t>Online payment order that fails / is abandoned</t>
        </is>
      </c>
      <c r="D17" s="9" t="inlineStr">
        <is>
          <t>Commission created at order creation → confirm it is cancelled when order cancelled/payment failed (no orphan pending commission)</t>
        </is>
      </c>
      <c r="E17" s="9" t="inlineStr">
        <is>
          <t>Not Run</t>
        </is>
      </c>
      <c r="F17" s="9" t="inlineStr"/>
      <c r="G17" s="9" t="inlineStr"/>
      <c r="H17" s="9" t="inlineStr"/>
    </row>
    <row r="18">
      <c r="A18" s="9" t="inlineStr">
        <is>
          <t>AF-156</t>
        </is>
      </c>
      <c r="B18" s="9" t="inlineStr">
        <is>
          <t>P0</t>
        </is>
      </c>
      <c r="C18" s="9" t="inlineStr">
        <is>
          <t>Online payment success</t>
        </is>
      </c>
      <c r="D18" s="9" t="inlineStr">
        <is>
          <t>confirmed sync updates order_status on commissions, status stays pending</t>
        </is>
      </c>
      <c r="E18" s="9" t="inlineStr">
        <is>
          <t>Not Run</t>
        </is>
      </c>
      <c r="F18" s="9" t="inlineStr"/>
      <c r="G18" s="9" t="inlineStr"/>
      <c r="H18" s="9" t="inlineStr"/>
    </row>
    <row r="19">
      <c r="A19" s="9" t="inlineStr">
        <is>
          <t>AF-157</t>
        </is>
      </c>
      <c r="B19" s="9" t="inlineStr">
        <is>
          <t>P1</t>
        </is>
      </c>
      <c r="C19" s="9" t="inlineStr">
        <is>
          <t>Audit row commission_created per item</t>
        </is>
      </c>
      <c r="D19" s="9" t="inlineStr">
        <is>
          <t>Actor SYSTEM, metadata correct</t>
        </is>
      </c>
      <c r="E19" s="9" t="inlineStr">
        <is>
          <t>Not Run</t>
        </is>
      </c>
      <c r="F19" s="9" t="inlineStr"/>
      <c r="G19" s="9" t="inlineStr"/>
      <c r="H19" s="9" t="inlineStr"/>
    </row>
    <row r="20">
      <c r="A20" s="9" t="inlineStr">
        <is>
          <t>AF-158</t>
        </is>
      </c>
      <c r="B20" s="9" t="inlineStr">
        <is>
          <t>P1</t>
        </is>
      </c>
      <c r="C20" s="9" t="inlineStr">
        <is>
          <t>Large order (50 lines)</t>
        </is>
      </c>
      <c r="D20" s="9" t="inlineStr">
        <is>
          <t>All commissions created, within time limit</t>
        </is>
      </c>
      <c r="E20" s="9" t="inlineStr">
        <is>
          <t>Not Run</t>
        </is>
      </c>
      <c r="F20" s="9" t="inlineStr"/>
      <c r="G20" s="9" t="inlineStr"/>
      <c r="H20" s="9" t="inlineStr"/>
    </row>
  </sheetData>
  <autoFilter ref="A1:H20"/>
  <conditionalFormatting sqref="E2:E20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</conditionalFormatting>
  <dataValidations count="1">
    <dataValidation sqref="E2:E20" showDropDown="0" showInputMessage="0" showErrorMessage="0" allowBlank="1" type="list">
      <formula1>"Not Run,Pass,Fail,Blocked,N/A"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6" customWidth="1" min="2" max="2"/>
    <col width="48" customWidth="1" min="3" max="3"/>
    <col width="48" customWidth="1" min="4" max="4"/>
    <col width="11" customWidth="1" min="5" max="5"/>
    <col width="12" customWidth="1" min="6" max="6"/>
    <col width="12" customWidth="1" min="7" max="7"/>
    <col width="28" customWidth="1" min="8" max="8"/>
  </cols>
  <sheetData>
    <row r="1">
      <c r="A1" s="8" t="inlineStr">
        <is>
          <t>ID</t>
        </is>
      </c>
      <c r="B1" s="8" t="inlineStr">
        <is>
          <t>P</t>
        </is>
      </c>
      <c r="C1" s="8" t="inlineStr">
        <is>
          <t>Scenario</t>
        </is>
      </c>
      <c r="D1" s="8" t="inlineStr">
        <is>
          <t>Expected</t>
        </is>
      </c>
      <c r="E1" s="8" t="inlineStr">
        <is>
          <t>Status</t>
        </is>
      </c>
      <c r="F1" s="8" t="inlineStr">
        <is>
          <t>Tester</t>
        </is>
      </c>
      <c r="G1" s="8" t="inlineStr">
        <is>
          <t>Date</t>
        </is>
      </c>
      <c r="H1" s="8" t="inlineStr">
        <is>
          <t>Remarks</t>
        </is>
      </c>
    </row>
    <row r="2">
      <c r="A2" s="9" t="inlineStr">
        <is>
          <t>AF-160</t>
        </is>
      </c>
      <c r="B2" s="9" t="inlineStr">
        <is>
          <t>P0</t>
        </is>
      </c>
      <c r="C2" s="9" t="inlineStr">
        <is>
          <t>Status mirrors: confirmed → shipped → out_for_delivery</t>
        </is>
      </c>
      <c r="D2" s="9" t="inlineStr">
        <is>
          <t>commissions.order_status follows; commission status pending</t>
        </is>
      </c>
      <c r="E2" s="9" t="inlineStr">
        <is>
          <t>Not Run</t>
        </is>
      </c>
      <c r="F2" s="9" t="inlineStr"/>
      <c r="G2" s="9" t="inlineStr"/>
      <c r="H2" s="9" t="inlineStr"/>
    </row>
    <row r="3">
      <c r="A3" s="9" t="inlineStr">
        <is>
          <t>AF-161</t>
        </is>
      </c>
      <c r="B3" s="9" t="inlineStr">
        <is>
          <t>P0</t>
        </is>
      </c>
      <c r="C3" s="9" t="inlineStr">
        <is>
          <t>Delivered</t>
        </is>
      </c>
      <c r="D3" s="9" t="inlineStr">
        <is>
          <t>delivered_at set, return_period_ends_at = delivered + N days; audit return_period_started</t>
        </is>
      </c>
      <c r="E3" s="9" t="inlineStr">
        <is>
          <t>Not Run</t>
        </is>
      </c>
      <c r="F3" s="9" t="inlineStr"/>
      <c r="G3" s="9" t="inlineStr"/>
      <c r="H3" s="9" t="inlineStr"/>
    </row>
    <row r="4">
      <c r="A4" s="9" t="inlineStr">
        <is>
          <t>AF-162</t>
        </is>
      </c>
      <c r="B4" s="9" t="inlineStr">
        <is>
          <t>P0</t>
        </is>
      </c>
      <c r="C4" s="9" t="inlineStr">
        <is>
          <t>Delivered twice (re-click / replay)</t>
        </is>
      </c>
      <c r="D4" s="9" t="inlineStr">
        <is>
          <t>Return period not reset (delivered_at: null guard)</t>
        </is>
      </c>
      <c r="E4" s="9" t="inlineStr">
        <is>
          <t>Not Run</t>
        </is>
      </c>
      <c r="F4" s="9" t="inlineStr"/>
      <c r="G4" s="9" t="inlineStr"/>
      <c r="H4" s="9" t="inlineStr"/>
    </row>
    <row r="5">
      <c r="A5" s="9" t="inlineStr">
        <is>
          <t>AF-163</t>
        </is>
      </c>
      <c r="B5" s="9" t="inlineStr">
        <is>
          <t>P0</t>
        </is>
      </c>
      <c r="C5" s="9" t="inlineStr">
        <is>
          <t>Approve before period ends</t>
        </is>
      </c>
      <c r="D5" s="9" t="inlineStr">
        <is>
          <t>0 approved</t>
        </is>
      </c>
      <c r="E5" s="9" t="inlineStr">
        <is>
          <t>Not Run</t>
        </is>
      </c>
      <c r="F5" s="9" t="inlineStr"/>
      <c r="G5" s="9" t="inlineStr"/>
      <c r="H5" s="9" t="inlineStr"/>
    </row>
    <row r="6">
      <c r="A6" s="9" t="inlineStr">
        <is>
          <t>AF-164</t>
        </is>
      </c>
      <c r="B6" s="9" t="inlineStr">
        <is>
          <t>P0</t>
        </is>
      </c>
      <c r="C6" s="9" t="inlineStr">
        <is>
          <t>Approve exactly at / 1 sec after end</t>
        </is>
      </c>
      <c r="D6" s="9" t="inlineStr">
        <is>
          <t>Approved at &lt;= now boundary</t>
        </is>
      </c>
      <c r="E6" s="9" t="inlineStr">
        <is>
          <t>Not Run</t>
        </is>
      </c>
      <c r="F6" s="9" t="inlineStr"/>
      <c r="G6" s="9" t="inlineStr"/>
      <c r="H6" s="9" t="inlineStr"/>
    </row>
    <row r="7">
      <c r="A7" s="9" t="inlineStr">
        <is>
          <t>AF-165</t>
        </is>
      </c>
      <c r="B7" s="9" t="inlineStr">
        <is>
          <t>P0</t>
        </is>
      </c>
      <c r="C7" s="9" t="inlineStr">
        <is>
          <t>Return period = 0 days</t>
        </is>
      </c>
      <c r="D7" s="9" t="inlineStr">
        <is>
          <t>Approvable right after delivery</t>
        </is>
      </c>
      <c r="E7" s="9" t="inlineStr">
        <is>
          <t>Not Run</t>
        </is>
      </c>
      <c r="F7" s="9" t="inlineStr"/>
      <c r="G7" s="9" t="inlineStr"/>
      <c r="H7" s="9" t="inlineStr"/>
    </row>
    <row r="8">
      <c r="A8" s="9" t="inlineStr">
        <is>
          <t>AF-166</t>
        </is>
      </c>
      <c r="B8" s="9" t="inlineStr">
        <is>
          <t>P1</t>
        </is>
      </c>
      <c r="C8" s="9" t="inlineStr">
        <is>
          <t>Setting changed after delivery</t>
        </is>
      </c>
      <c r="D8" s="9" t="inlineStr">
        <is>
          <t>Old commissions keep old end date; new use new</t>
        </is>
      </c>
      <c r="E8" s="9" t="inlineStr">
        <is>
          <t>Not Run</t>
        </is>
      </c>
      <c r="F8" s="9" t="inlineStr"/>
      <c r="G8" s="9" t="inlineStr"/>
      <c r="H8" s="9" t="inlineStr"/>
    </row>
    <row r="9">
      <c r="A9" s="9" t="inlineStr">
        <is>
          <t>AF-167</t>
        </is>
      </c>
      <c r="B9" s="9" t="inlineStr">
        <is>
          <t>P1</t>
        </is>
      </c>
      <c r="C9" s="9" t="inlineStr">
        <is>
          <t>Setting invalid (abc, -1, 91)</t>
        </is>
      </c>
      <c r="D9" s="9" t="inlineStr">
        <is>
          <t>Falls back to default / rejected by settings validation</t>
        </is>
      </c>
      <c r="E9" s="9" t="inlineStr">
        <is>
          <t>Not Run</t>
        </is>
      </c>
      <c r="F9" s="9" t="inlineStr"/>
      <c r="G9" s="9" t="inlineStr"/>
      <c r="H9" s="9" t="inlineStr"/>
    </row>
    <row r="10">
      <c r="A10" s="9" t="inlineStr">
        <is>
          <t>AF-168</t>
        </is>
      </c>
      <c r="B10" s="9" t="inlineStr">
        <is>
          <t>P0</t>
        </is>
      </c>
      <c r="C10" s="9" t="inlineStr">
        <is>
          <t>Lazy approval triggers</t>
        </is>
      </c>
      <c r="D10" s="9" t="inlineStr">
        <is>
          <t>Agent opens Commissions / Dashboard / Payouts → approved; admin button also works</t>
        </is>
      </c>
      <c r="E10" s="9" t="inlineStr">
        <is>
          <t>Not Run</t>
        </is>
      </c>
      <c r="F10" s="9" t="inlineStr"/>
      <c r="G10" s="9" t="inlineStr"/>
      <c r="H10" s="9" t="inlineStr"/>
    </row>
    <row r="11">
      <c r="A11" s="9" t="inlineStr">
        <is>
          <t>AF-169</t>
        </is>
      </c>
      <c r="B11" s="9" t="inlineStr">
        <is>
          <t>P1</t>
        </is>
      </c>
      <c r="C11" s="9" t="inlineStr">
        <is>
          <t>&gt;500 due commissions</t>
        </is>
      </c>
      <c r="D11" s="9" t="inlineStr">
        <is>
          <t>First call approves 500, second call the rest (no loss)</t>
        </is>
      </c>
      <c r="E11" s="9" t="inlineStr">
        <is>
          <t>Not Run</t>
        </is>
      </c>
      <c r="F11" s="9" t="inlineStr"/>
      <c r="G11" s="9" t="inlineStr"/>
      <c r="H11" s="9" t="inlineStr"/>
    </row>
    <row r="12">
      <c r="A12" s="9" t="inlineStr">
        <is>
          <t>AF-170</t>
        </is>
      </c>
      <c r="B12" s="9" t="inlineStr">
        <is>
          <t>P0</t>
        </is>
      </c>
      <c r="C12" s="9" t="inlineStr">
        <is>
          <t>Concurrent approve (agent page + admin button)</t>
        </is>
      </c>
      <c r="D12" s="9" t="inlineStr">
        <is>
          <t>Each commission approved once, one audit row</t>
        </is>
      </c>
      <c r="E12" s="9" t="inlineStr">
        <is>
          <t>Not Run</t>
        </is>
      </c>
      <c r="F12" s="9" t="inlineStr"/>
      <c r="G12" s="9" t="inlineStr"/>
      <c r="H12" s="9" t="inlineStr"/>
    </row>
    <row r="13">
      <c r="A13" s="9" t="inlineStr">
        <is>
          <t>AF-171</t>
        </is>
      </c>
      <c r="B13" s="9" t="inlineStr">
        <is>
          <t>P0</t>
        </is>
      </c>
      <c r="C13" s="9" t="inlineStr">
        <is>
          <t>Cancel (pending, before delivery)</t>
        </is>
      </c>
      <c r="D13" s="9" t="inlineStr">
        <is>
          <t>cancelled, cancelled_at, reason</t>
        </is>
      </c>
      <c r="E13" s="9" t="inlineStr">
        <is>
          <t>Not Run</t>
        </is>
      </c>
      <c r="F13" s="9" t="inlineStr"/>
      <c r="G13" s="9" t="inlineStr"/>
      <c r="H13" s="9" t="inlineStr"/>
    </row>
    <row r="14">
      <c r="A14" s="9" t="inlineStr">
        <is>
          <t>AF-172</t>
        </is>
      </c>
      <c r="B14" s="9" t="inlineStr">
        <is>
          <t>P0</t>
        </is>
      </c>
      <c r="C14" s="9" t="inlineStr">
        <is>
          <t>Cancel after approved</t>
        </is>
      </c>
      <c r="D14" s="9" t="inlineStr">
        <is>
          <t>reversed</t>
        </is>
      </c>
      <c r="E14" s="9" t="inlineStr">
        <is>
          <t>Not Run</t>
        </is>
      </c>
      <c r="F14" s="9" t="inlineStr"/>
      <c r="G14" s="9" t="inlineStr"/>
      <c r="H14" s="9" t="inlineStr"/>
    </row>
    <row r="15">
      <c r="A15" s="9" t="inlineStr">
        <is>
          <t>AF-173</t>
        </is>
      </c>
      <c r="B15" s="9" t="inlineStr">
        <is>
          <t>P0</t>
        </is>
      </c>
      <c r="C15" s="9" t="inlineStr">
        <is>
          <t>Return full order, commission pending</t>
        </is>
      </c>
      <c r="D15" s="9" t="inlineStr">
        <is>
          <t>reversed</t>
        </is>
      </c>
      <c r="E15" s="9" t="inlineStr">
        <is>
          <t>Not Run</t>
        </is>
      </c>
      <c r="F15" s="9" t="inlineStr"/>
      <c r="G15" s="9" t="inlineStr"/>
      <c r="H15" s="9" t="inlineStr"/>
    </row>
    <row r="16">
      <c r="A16" s="9" t="inlineStr">
        <is>
          <t>AF-174</t>
        </is>
      </c>
      <c r="B16" s="9" t="inlineStr">
        <is>
          <t>P0</t>
        </is>
      </c>
      <c r="C16" s="9" t="inlineStr">
        <is>
          <t>Partial return (1 of 3 items)</t>
        </is>
      </c>
      <c r="D16" s="9" t="inlineStr">
        <is>
          <t>Only that item's commission reversed; others intact</t>
        </is>
      </c>
      <c r="E16" s="9" t="inlineStr">
        <is>
          <t>Not Run</t>
        </is>
      </c>
      <c r="F16" s="9" t="inlineStr"/>
      <c r="G16" s="9" t="inlineStr"/>
      <c r="H16" s="9" t="inlineStr"/>
    </row>
    <row r="17">
      <c r="A17" s="9" t="inlineStr">
        <is>
          <t>AF-175</t>
        </is>
      </c>
      <c r="B17" s="9" t="inlineStr">
        <is>
          <t>P0</t>
        </is>
      </c>
      <c r="C17" s="9" t="inlineStr">
        <is>
          <t>Partial return qty (return 1 of qty 3 of same item)</t>
        </is>
      </c>
      <c r="D17" s="9" t="inlineStr">
        <is>
          <t>Check behaviour: whole item commission reversed vs proportional – document</t>
        </is>
      </c>
      <c r="E17" s="9" t="inlineStr">
        <is>
          <t>Not Run</t>
        </is>
      </c>
      <c r="F17" s="9" t="inlineStr"/>
      <c r="G17" s="9" t="inlineStr"/>
      <c r="H17" s="9" t="inlineStr"/>
    </row>
    <row r="18">
      <c r="A18" s="9" t="inlineStr">
        <is>
          <t>AF-176</t>
        </is>
      </c>
      <c r="B18" s="9" t="inlineStr">
        <is>
          <t>P0</t>
        </is>
      </c>
      <c r="C18" s="9" t="inlineStr">
        <is>
          <t>Return after paid</t>
        </is>
      </c>
      <c r="D18" s="9" t="inlineStr">
        <is>
          <t>reversed + clawback_due=true; shown in admin; agent balance not auto-deducted – verify finance view</t>
        </is>
      </c>
      <c r="E18" s="9" t="inlineStr">
        <is>
          <t>Not Run</t>
        </is>
      </c>
      <c r="F18" s="9" t="inlineStr"/>
      <c r="G18" s="9" t="inlineStr"/>
      <c r="H18" s="9" t="inlineStr"/>
    </row>
    <row r="19">
      <c r="A19" s="9" t="inlineStr">
        <is>
          <t>AF-177</t>
        </is>
      </c>
      <c r="B19" s="9" t="inlineStr">
        <is>
          <t>P0</t>
        </is>
      </c>
      <c r="C19" s="9" t="inlineStr">
        <is>
          <t>Return while in payout_requested / payout_approved</t>
        </is>
      </c>
      <c r="D19" s="9" t="inlineStr">
        <is>
          <t>Commission removed from payout, payout amount recalculated</t>
        </is>
      </c>
      <c r="E19" s="9" t="inlineStr">
        <is>
          <t>Not Run</t>
        </is>
      </c>
      <c r="F19" s="9" t="inlineStr"/>
      <c r="G19" s="9" t="inlineStr"/>
      <c r="H19" s="9" t="inlineStr"/>
    </row>
    <row r="20">
      <c r="A20" s="9" t="inlineStr">
        <is>
          <t>AF-178</t>
        </is>
      </c>
      <c r="B20" s="9" t="inlineStr">
        <is>
          <t>P0</t>
        </is>
      </c>
      <c r="C20" s="9" t="inlineStr">
        <is>
          <t>All commissions of a payout reversed</t>
        </is>
      </c>
      <c r="D20" s="9" t="inlineStr">
        <is>
          <t>Payout → cancelled, note set</t>
        </is>
      </c>
      <c r="E20" s="9" t="inlineStr">
        <is>
          <t>Not Run</t>
        </is>
      </c>
      <c r="F20" s="9" t="inlineStr"/>
      <c r="G20" s="9" t="inlineStr"/>
      <c r="H20" s="9" t="inlineStr"/>
    </row>
    <row r="21">
      <c r="A21" s="9" t="inlineStr">
        <is>
          <t>AF-179</t>
        </is>
      </c>
      <c r="B21" s="9" t="inlineStr">
        <is>
          <t>P1</t>
        </is>
      </c>
      <c r="C21" s="9" t="inlineStr">
        <is>
          <t>Reversed commission then payout later marked paid</t>
        </is>
      </c>
      <c r="D21" s="9" t="inlineStr">
        <is>
          <t>Paid amount = remaining only</t>
        </is>
      </c>
      <c r="E21" s="9" t="inlineStr">
        <is>
          <t>Not Run</t>
        </is>
      </c>
      <c r="F21" s="9" t="inlineStr"/>
      <c r="G21" s="9" t="inlineStr"/>
      <c r="H21" s="9" t="inlineStr"/>
    </row>
    <row r="22">
      <c r="A22" s="9" t="inlineStr">
        <is>
          <t>AF-180</t>
        </is>
      </c>
      <c r="B22" s="9" t="inlineStr">
        <is>
          <t>P0</t>
        </is>
      </c>
      <c r="C22" s="9" t="inlineStr">
        <is>
          <t>Cancel/return called twice</t>
        </is>
      </c>
      <c r="D22" s="9" t="inlineStr">
        <is>
          <t>Second call no-op (already cancelled/reversed filtered)</t>
        </is>
      </c>
      <c r="E22" s="9" t="inlineStr">
        <is>
          <t>Not Run</t>
        </is>
      </c>
      <c r="F22" s="9" t="inlineStr"/>
      <c r="G22" s="9" t="inlineStr"/>
      <c r="H22" s="9" t="inlineStr"/>
    </row>
    <row r="23">
      <c r="A23" s="9" t="inlineStr">
        <is>
          <t>AF-181</t>
        </is>
      </c>
      <c r="B23" s="9" t="inlineStr">
        <is>
          <t>P1</t>
        </is>
      </c>
      <c r="C23" s="9" t="inlineStr">
        <is>
          <t>Order status set to unexpected value via admin</t>
        </is>
      </c>
      <c r="D23" s="9" t="inlineStr">
        <is>
          <t>order_status synced, no commission state change</t>
        </is>
      </c>
      <c r="E23" s="9" t="inlineStr">
        <is>
          <t>Not Run</t>
        </is>
      </c>
      <c r="F23" s="9" t="inlineStr"/>
      <c r="G23" s="9" t="inlineStr"/>
      <c r="H23" s="9" t="inlineStr"/>
    </row>
    <row r="24">
      <c r="A24" s="9" t="inlineStr">
        <is>
          <t>AF-182</t>
        </is>
      </c>
      <c r="B24" s="9" t="inlineStr">
        <is>
          <t>P1</t>
        </is>
      </c>
      <c r="C24" s="9" t="inlineStr">
        <is>
          <t>Order delivered → returned → re-delivered (replacement)</t>
        </is>
      </c>
      <c r="D24" s="9" t="inlineStr">
        <is>
          <t>No commission revival</t>
        </is>
      </c>
      <c r="E24" s="9" t="inlineStr">
        <is>
          <t>Not Run</t>
        </is>
      </c>
      <c r="F24" s="9" t="inlineStr"/>
      <c r="G24" s="9" t="inlineStr"/>
      <c r="H24" s="9" t="inlineStr"/>
    </row>
    <row r="25">
      <c r="A25" s="9" t="inlineStr">
        <is>
          <t>AF-183</t>
        </is>
      </c>
      <c r="B25" s="9" t="inlineStr">
        <is>
          <t>P1</t>
        </is>
      </c>
      <c r="C25" s="9" t="inlineStr">
        <is>
          <t>Return rejected by admin</t>
        </is>
      </c>
      <c r="D25" s="9" t="inlineStr">
        <is>
          <t>Commission unaffected, return period continues</t>
        </is>
      </c>
      <c r="E25" s="9" t="inlineStr">
        <is>
          <t>Not Run</t>
        </is>
      </c>
      <c r="F25" s="9" t="inlineStr"/>
      <c r="G25" s="9" t="inlineStr"/>
      <c r="H25" s="9" t="inlineStr"/>
    </row>
    <row r="26">
      <c r="A26" s="9" t="inlineStr">
        <is>
          <t>AF-184</t>
        </is>
      </c>
      <c r="B26" s="9" t="inlineStr">
        <is>
          <t>P1</t>
        </is>
      </c>
      <c r="C26" s="9" t="inlineStr">
        <is>
          <t>Return requested but window lapses</t>
        </is>
      </c>
      <c r="D26" s="9" t="inlineStr">
        <is>
          <t>No effect; approved on schedule</t>
        </is>
      </c>
      <c r="E26" s="9" t="inlineStr">
        <is>
          <t>Not Run</t>
        </is>
      </c>
      <c r="F26" s="9" t="inlineStr"/>
      <c r="G26" s="9" t="inlineStr"/>
      <c r="H26" s="9" t="inlineStr"/>
    </row>
    <row r="27">
      <c r="A27" s="9" t="inlineStr">
        <is>
          <t>AF-185</t>
        </is>
      </c>
      <c r="B27" s="9" t="inlineStr">
        <is>
          <t>P0</t>
        </is>
      </c>
      <c r="C27" s="9" t="inlineStr">
        <is>
          <t>Return period vs customer return window</t>
        </is>
      </c>
      <c r="D27" s="9" t="inlineStr">
        <is>
          <t>Return window ≤ agent return period (config sanity), else approved commission on returnable order</t>
        </is>
      </c>
      <c r="E27" s="9" t="inlineStr">
        <is>
          <t>Not Run</t>
        </is>
      </c>
      <c r="F27" s="9" t="inlineStr"/>
      <c r="G27" s="9" t="inlineStr"/>
      <c r="H27" s="9" t="inlineStr"/>
    </row>
  </sheetData>
  <autoFilter ref="A1:H27"/>
  <conditionalFormatting sqref="E2:E27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</conditionalFormatting>
  <dataValidations count="1">
    <dataValidation sqref="E2:E27" showDropDown="0" showInputMessage="0" showErrorMessage="0" allowBlank="1" type="list">
      <formula1>"Not Run,Pass,Fail,Blocked,N/A"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6" customWidth="1" min="2" max="2"/>
    <col width="48" customWidth="1" min="3" max="3"/>
    <col width="48" customWidth="1" min="4" max="4"/>
    <col width="11" customWidth="1" min="5" max="5"/>
    <col width="12" customWidth="1" min="6" max="6"/>
    <col width="12" customWidth="1" min="7" max="7"/>
    <col width="28" customWidth="1" min="8" max="8"/>
  </cols>
  <sheetData>
    <row r="1">
      <c r="A1" s="8" t="inlineStr">
        <is>
          <t>ID</t>
        </is>
      </c>
      <c r="B1" s="8" t="inlineStr">
        <is>
          <t>P</t>
        </is>
      </c>
      <c r="C1" s="8" t="inlineStr">
        <is>
          <t>Scenario</t>
        </is>
      </c>
      <c r="D1" s="8" t="inlineStr">
        <is>
          <t>Expected</t>
        </is>
      </c>
      <c r="E1" s="8" t="inlineStr">
        <is>
          <t>Status</t>
        </is>
      </c>
      <c r="F1" s="8" t="inlineStr">
        <is>
          <t>Tester</t>
        </is>
      </c>
      <c r="G1" s="8" t="inlineStr">
        <is>
          <t>Date</t>
        </is>
      </c>
      <c r="H1" s="8" t="inlineStr">
        <is>
          <t>Remarks</t>
        </is>
      </c>
    </row>
    <row r="2">
      <c r="A2" s="9" t="inlineStr">
        <is>
          <t>AF-190</t>
        </is>
      </c>
      <c r="B2" s="9" t="inlineStr">
        <is>
          <t>P0</t>
        </is>
      </c>
      <c r="C2" s="9" t="inlineStr">
        <is>
          <t>Balance = approved, un-requested only</t>
        </is>
      </c>
      <c r="D2" s="9" t="inlineStr">
        <is>
          <t>Pending/payout/paid excluded</t>
        </is>
      </c>
      <c r="E2" s="9" t="inlineStr">
        <is>
          <t>Not Run</t>
        </is>
      </c>
      <c r="F2" s="9" t="inlineStr"/>
      <c r="G2" s="9" t="inlineStr"/>
      <c r="H2" s="9" t="inlineStr"/>
    </row>
    <row r="3">
      <c r="A3" s="9" t="inlineStr">
        <is>
          <t>AF-191</t>
        </is>
      </c>
      <c r="B3" s="9" t="inlineStr">
        <is>
          <t>P0</t>
        </is>
      </c>
      <c r="C3" s="9" t="inlineStr">
        <is>
          <t>Request UPI with valid saved UPI</t>
        </is>
      </c>
      <c r="D3" s="9" t="inlineStr">
        <is>
          <t>Payout requested; all approved → payout_requested; audit per commission</t>
        </is>
      </c>
      <c r="E3" s="9" t="inlineStr">
        <is>
          <t>Not Run</t>
        </is>
      </c>
      <c r="F3" s="9" t="inlineStr"/>
      <c r="G3" s="9" t="inlineStr"/>
      <c r="H3" s="9" t="inlineStr"/>
    </row>
    <row r="4">
      <c r="A4" s="9" t="inlineStr">
        <is>
          <t>AF-192</t>
        </is>
      </c>
      <c r="B4" s="9" t="inlineStr">
        <is>
          <t>P0</t>
        </is>
      </c>
      <c r="C4" s="9" t="inlineStr">
        <is>
          <t>Request bank with full details</t>
        </is>
      </c>
      <c r="D4" s="9" t="inlineStr">
        <is>
          <t>Snapshot holder/bank/IFSC/last4 + encrypted acct no.</t>
        </is>
      </c>
      <c r="E4" s="9" t="inlineStr">
        <is>
          <t>Not Run</t>
        </is>
      </c>
      <c r="F4" s="9" t="inlineStr"/>
      <c r="G4" s="9" t="inlineStr"/>
      <c r="H4" s="9" t="inlineStr"/>
    </row>
    <row r="5">
      <c r="A5" s="9" t="inlineStr">
        <is>
          <t>AF-193</t>
        </is>
      </c>
      <c r="B5" s="9" t="inlineStr">
        <is>
          <t>P0</t>
        </is>
      </c>
      <c r="C5" s="9" t="inlineStr">
        <is>
          <t>No UPI saved, method upi</t>
        </is>
      </c>
      <c r="D5" s="9" t="inlineStr">
        <is>
          <t>400 "Add your UPI ID…"</t>
        </is>
      </c>
      <c r="E5" s="9" t="inlineStr">
        <is>
          <t>Not Run</t>
        </is>
      </c>
      <c r="F5" s="9" t="inlineStr"/>
      <c r="G5" s="9" t="inlineStr"/>
      <c r="H5" s="9" t="inlineStr"/>
    </row>
    <row r="6">
      <c r="A6" s="9" t="inlineStr">
        <is>
          <t>AF-194</t>
        </is>
      </c>
      <c r="B6" s="9" t="inlineStr">
        <is>
          <t>P0</t>
        </is>
      </c>
      <c r="C6" s="9" t="inlineStr">
        <is>
          <t>Bank details incomplete</t>
        </is>
      </c>
      <c r="D6" s="9" t="inlineStr">
        <is>
          <t>400</t>
        </is>
      </c>
      <c r="E6" s="9" t="inlineStr">
        <is>
          <t>Not Run</t>
        </is>
      </c>
      <c r="F6" s="9" t="inlineStr"/>
      <c r="G6" s="9" t="inlineStr"/>
      <c r="H6" s="9" t="inlineStr"/>
    </row>
    <row r="7">
      <c r="A7" s="9" t="inlineStr">
        <is>
          <t>AF-195</t>
        </is>
      </c>
      <c r="B7" s="9" t="inlineStr">
        <is>
          <t>P0</t>
        </is>
      </c>
      <c r="C7" s="9" t="inlineStr">
        <is>
          <t>No profile row</t>
        </is>
      </c>
      <c r="D7" s="9" t="inlineStr">
        <is>
          <t>400 "profile is incomplete"</t>
        </is>
      </c>
      <c r="E7" s="9" t="inlineStr">
        <is>
          <t>Not Run</t>
        </is>
      </c>
      <c r="F7" s="9" t="inlineStr"/>
      <c r="G7" s="9" t="inlineStr"/>
      <c r="H7" s="9" t="inlineStr"/>
    </row>
    <row r="8">
      <c r="A8" s="9" t="inlineStr">
        <is>
          <t>AF-196</t>
        </is>
      </c>
      <c r="B8" s="9" t="inlineStr">
        <is>
          <t>P0</t>
        </is>
      </c>
      <c r="C8" s="9" t="inlineStr">
        <is>
          <t>Zero approved</t>
        </is>
      </c>
      <c r="D8" s="9" t="inlineStr">
        <is>
          <t>400 "no approved commission"</t>
        </is>
      </c>
      <c r="E8" s="9" t="inlineStr">
        <is>
          <t>Not Run</t>
        </is>
      </c>
      <c r="F8" s="9" t="inlineStr"/>
      <c r="G8" s="9" t="inlineStr"/>
      <c r="H8" s="9" t="inlineStr"/>
    </row>
    <row r="9">
      <c r="A9" s="9" t="inlineStr">
        <is>
          <t>AF-197</t>
        </is>
      </c>
      <c r="B9" s="9" t="inlineStr">
        <is>
          <t>P0</t>
        </is>
      </c>
      <c r="C9" s="9" t="inlineStr">
        <is>
          <t>Double-click / two tabs request</t>
        </is>
      </c>
      <c r="D9" s="9" t="inlineStr">
        <is>
          <t>One payout; second 400/409; no commission in two payouts</t>
        </is>
      </c>
      <c r="E9" s="9" t="inlineStr">
        <is>
          <t>Not Run</t>
        </is>
      </c>
      <c r="F9" s="9" t="inlineStr"/>
      <c r="G9" s="9" t="inlineStr"/>
      <c r="H9" s="9" t="inlineStr"/>
    </row>
    <row r="10">
      <c r="A10" s="9" t="inlineStr">
        <is>
          <t>AF-198</t>
        </is>
      </c>
      <c r="B10" s="9" t="inlineStr">
        <is>
          <t>P0</t>
        </is>
      </c>
      <c r="C10" s="9" t="inlineStr">
        <is>
          <t>Commission reversed between read and update</t>
        </is>
      </c>
      <c r="D10" s="9" t="inlineStr">
        <is>
          <t>409 "commissions changed", no partial payout row (transaction rolled back)</t>
        </is>
      </c>
      <c r="E10" s="9" t="inlineStr">
        <is>
          <t>Not Run</t>
        </is>
      </c>
      <c r="F10" s="9" t="inlineStr"/>
      <c r="G10" s="9" t="inlineStr"/>
      <c r="H10" s="9" t="inlineStr"/>
    </row>
    <row r="11">
      <c r="A11" s="9" t="inlineStr">
        <is>
          <t>AF-199</t>
        </is>
      </c>
      <c r="B11" s="9" t="inlineStr">
        <is>
          <t>P0</t>
        </is>
      </c>
      <c r="C11" s="9" t="inlineStr">
        <is>
          <t>Method other than upi/bank_transfer</t>
        </is>
      </c>
      <c r="D11" s="9" t="inlineStr">
        <is>
          <t>400</t>
        </is>
      </c>
      <c r="E11" s="9" t="inlineStr">
        <is>
          <t>Not Run</t>
        </is>
      </c>
      <c r="F11" s="9" t="inlineStr"/>
      <c r="G11" s="9" t="inlineStr"/>
      <c r="H11" s="9" t="inlineStr"/>
    </row>
    <row r="12">
      <c r="A12" s="9" t="inlineStr">
        <is>
          <t>AF-200</t>
        </is>
      </c>
      <c r="B12" s="9" t="inlineStr">
        <is>
          <t>P0</t>
        </is>
      </c>
      <c r="C12" s="9" t="inlineStr">
        <is>
          <t>Profile changed after request</t>
        </is>
      </c>
      <c r="D12" s="9" t="inlineStr">
        <is>
          <t>Payout keeps snapshot of old details</t>
        </is>
      </c>
      <c r="E12" s="9" t="inlineStr">
        <is>
          <t>Not Run</t>
        </is>
      </c>
      <c r="F12" s="9" t="inlineStr"/>
      <c r="G12" s="9" t="inlineStr"/>
      <c r="H12" s="9" t="inlineStr"/>
    </row>
    <row r="13">
      <c r="A13" s="9" t="inlineStr">
        <is>
          <t>AF-201</t>
        </is>
      </c>
      <c r="B13" s="9" t="inlineStr">
        <is>
          <t>P0</t>
        </is>
      </c>
      <c r="C13" s="9" t="inlineStr">
        <is>
          <t>Admin approve</t>
        </is>
      </c>
      <c r="D13" s="9" t="inlineStr">
        <is>
          <t>approved, commissions payout_approved, reviewer + note stored</t>
        </is>
      </c>
      <c r="E13" s="9" t="inlineStr">
        <is>
          <t>Not Run</t>
        </is>
      </c>
      <c r="F13" s="9" t="inlineStr"/>
      <c r="G13" s="9" t="inlineStr"/>
      <c r="H13" s="9" t="inlineStr"/>
    </row>
    <row r="14">
      <c r="A14" s="9" t="inlineStr">
        <is>
          <t>AF-202</t>
        </is>
      </c>
      <c r="B14" s="9" t="inlineStr">
        <is>
          <t>P0</t>
        </is>
      </c>
      <c r="C14" s="9" t="inlineStr">
        <is>
          <t>Approve already approved / paid / rejected</t>
        </is>
      </c>
      <c r="D14" s="9" t="inlineStr">
        <is>
          <t>400 with current status</t>
        </is>
      </c>
      <c r="E14" s="9" t="inlineStr">
        <is>
          <t>Not Run</t>
        </is>
      </c>
      <c r="F14" s="9" t="inlineStr"/>
      <c r="G14" s="9" t="inlineStr"/>
      <c r="H14" s="9" t="inlineStr"/>
    </row>
    <row r="15">
      <c r="A15" s="9" t="inlineStr">
        <is>
          <t>AF-203</t>
        </is>
      </c>
      <c r="B15" s="9" t="inlineStr">
        <is>
          <t>P0</t>
        </is>
      </c>
      <c r="C15" s="9" t="inlineStr">
        <is>
          <t>Reject from requested and from approved (reason ≥3)</t>
        </is>
      </c>
      <c r="D15" s="9" t="inlineStr">
        <is>
          <t>Commissions → approved, payout_id null, agent can re-request</t>
        </is>
      </c>
      <c r="E15" s="9" t="inlineStr">
        <is>
          <t>Not Run</t>
        </is>
      </c>
      <c r="F15" s="9" t="inlineStr"/>
      <c r="G15" s="9" t="inlineStr"/>
      <c r="H15" s="9" t="inlineStr"/>
    </row>
    <row r="16">
      <c r="A16" s="9" t="inlineStr">
        <is>
          <t>AF-204</t>
        </is>
      </c>
      <c r="B16" s="9" t="inlineStr">
        <is>
          <t>P1</t>
        </is>
      </c>
      <c r="C16" s="9" t="inlineStr">
        <is>
          <t>Reject reason 2 chars / empty</t>
        </is>
      </c>
      <c r="D16" s="9" t="inlineStr">
        <is>
          <t>400</t>
        </is>
      </c>
      <c r="E16" s="9" t="inlineStr">
        <is>
          <t>Not Run</t>
        </is>
      </c>
      <c r="F16" s="9" t="inlineStr"/>
      <c r="G16" s="9" t="inlineStr"/>
      <c r="H16" s="9" t="inlineStr"/>
    </row>
    <row r="17">
      <c r="A17" s="9" t="inlineStr">
        <is>
          <t>AF-205</t>
        </is>
      </c>
      <c r="B17" s="9" t="inlineStr">
        <is>
          <t>P0</t>
        </is>
      </c>
      <c r="C17" s="9" t="inlineStr">
        <is>
          <t>Reject paid payout</t>
        </is>
      </c>
      <c r="D17" s="9" t="inlineStr">
        <is>
          <t>400</t>
        </is>
      </c>
      <c r="E17" s="9" t="inlineStr">
        <is>
          <t>Not Run</t>
        </is>
      </c>
      <c r="F17" s="9" t="inlineStr"/>
      <c r="G17" s="9" t="inlineStr"/>
      <c r="H17" s="9" t="inlineStr"/>
    </row>
    <row r="18">
      <c r="A18" s="9" t="inlineStr">
        <is>
          <t>AF-206</t>
        </is>
      </c>
      <c r="B18" s="9" t="inlineStr">
        <is>
          <t>P0</t>
        </is>
      </c>
      <c r="C18" s="9" t="inlineStr">
        <is>
          <t>Mark paid on requested</t>
        </is>
      </c>
      <c r="D18" s="9" t="inlineStr">
        <is>
          <t>400 (must be approved)</t>
        </is>
      </c>
      <c r="E18" s="9" t="inlineStr">
        <is>
          <t>Not Run</t>
        </is>
      </c>
      <c r="F18" s="9" t="inlineStr"/>
      <c r="G18" s="9" t="inlineStr"/>
      <c r="H18" s="9" t="inlineStr"/>
    </row>
    <row r="19">
      <c r="A19" s="9" t="inlineStr">
        <is>
          <t>AF-207</t>
        </is>
      </c>
      <c r="B19" s="9" t="inlineStr">
        <is>
          <t>P0</t>
        </is>
      </c>
      <c r="C19" s="9" t="inlineStr">
        <is>
          <t>Mark paid reference: 2 / 3 / 100 / 101 chars, @#$ chars</t>
        </is>
      </c>
      <c r="D19" s="9" t="inlineStr">
        <is>
          <t>per schema</t>
        </is>
      </c>
      <c r="E19" s="9" t="inlineStr">
        <is>
          <t>Not Run</t>
        </is>
      </c>
      <c r="F19" s="9" t="inlineStr"/>
      <c r="G19" s="9" t="inlineStr"/>
      <c r="H19" s="9" t="inlineStr"/>
    </row>
    <row r="20">
      <c r="A20" s="9" t="inlineStr">
        <is>
          <t>AF-208</t>
        </is>
      </c>
      <c r="B20" s="9" t="inlineStr">
        <is>
          <t>P0</t>
        </is>
      </c>
      <c r="C20" s="9" t="inlineStr">
        <is>
          <t>Mark paid twice</t>
        </is>
      </c>
      <c r="D20" s="9" t="inlineStr">
        <is>
          <t>Second 400; commissions paid once</t>
        </is>
      </c>
      <c r="E20" s="9" t="inlineStr">
        <is>
          <t>Not Run</t>
        </is>
      </c>
      <c r="F20" s="9" t="inlineStr"/>
      <c r="G20" s="9" t="inlineStr"/>
      <c r="H20" s="9" t="inlineStr"/>
    </row>
    <row r="21">
      <c r="A21" s="9" t="inlineStr">
        <is>
          <t>AF-209</t>
        </is>
      </c>
      <c r="B21" s="9" t="inlineStr">
        <is>
          <t>P0</t>
        </is>
      </c>
      <c r="C21" s="9" t="inlineStr">
        <is>
          <t>After paid</t>
        </is>
      </c>
      <c r="D21" s="9" t="inlineStr">
        <is>
          <t>Commissions paid, paid_at; agent balance 0; history shows reference</t>
        </is>
      </c>
      <c r="E21" s="9" t="inlineStr">
        <is>
          <t>Not Run</t>
        </is>
      </c>
      <c r="F21" s="9" t="inlineStr"/>
      <c r="G21" s="9" t="inlineStr"/>
      <c r="H21" s="9" t="inlineStr"/>
    </row>
    <row r="22">
      <c r="A22" s="9" t="inlineStr">
        <is>
          <t>AF-210</t>
        </is>
      </c>
      <c r="B22" s="9" t="inlineStr">
        <is>
          <t>P0</t>
        </is>
      </c>
      <c r="C22" s="9" t="inlineStr">
        <is>
          <t>Reveal destination (admin)</t>
        </is>
      </c>
      <c r="D22" s="9" t="inlineStr">
        <is>
          <t>Full decrypted acct no.; audit payout_details_viewed each time</t>
        </is>
      </c>
      <c r="E22" s="9" t="inlineStr">
        <is>
          <t>Not Run</t>
        </is>
      </c>
      <c r="F22" s="9" t="inlineStr"/>
      <c r="G22" s="9" t="inlineStr"/>
      <c r="H22" s="9" t="inlineStr"/>
    </row>
    <row r="23">
      <c r="A23" s="9" t="inlineStr">
        <is>
          <t>AF-211</t>
        </is>
      </c>
      <c r="B23" s="9" t="inlineStr">
        <is>
          <t>P0</t>
        </is>
      </c>
      <c r="C23" s="9" t="inlineStr">
        <is>
          <t>Agent/customer reveal destination</t>
        </is>
      </c>
      <c r="D23" s="9" t="inlineStr">
        <is>
          <t>403</t>
        </is>
      </c>
      <c r="E23" s="9" t="inlineStr">
        <is>
          <t>Not Run</t>
        </is>
      </c>
      <c r="F23" s="9" t="inlineStr"/>
      <c r="G23" s="9" t="inlineStr"/>
      <c r="H23" s="9" t="inlineStr"/>
    </row>
    <row r="24">
      <c r="A24" s="9" t="inlineStr">
        <is>
          <t>AF-212</t>
        </is>
      </c>
      <c r="B24" s="9" t="inlineStr">
        <is>
          <t>P0</t>
        </is>
      </c>
      <c r="C24" s="9" t="inlineStr">
        <is>
          <t>Agent API/UI never returns full account number</t>
        </is>
      </c>
      <c r="D24" s="9" t="inlineStr">
        <is>
          <t>Only last4</t>
        </is>
      </c>
      <c r="E24" s="9" t="inlineStr">
        <is>
          <t>Not Run</t>
        </is>
      </c>
      <c r="F24" s="9" t="inlineStr"/>
      <c r="G24" s="9" t="inlineStr"/>
      <c r="H24" s="9" t="inlineStr"/>
    </row>
    <row r="25">
      <c r="A25" s="9" t="inlineStr">
        <is>
          <t>AF-213</t>
        </is>
      </c>
      <c r="B25" s="9" t="inlineStr">
        <is>
          <t>P0</t>
        </is>
      </c>
      <c r="C25" s="9" t="inlineStr">
        <is>
          <t>Agent A reads payout of B (/api/agent/payouts?id)</t>
        </is>
      </c>
      <c r="D25" s="9" t="inlineStr">
        <is>
          <t>404/empty</t>
        </is>
      </c>
      <c r="E25" s="9" t="inlineStr">
        <is>
          <t>Not Run</t>
        </is>
      </c>
      <c r="F25" s="9" t="inlineStr"/>
      <c r="G25" s="9" t="inlineStr"/>
      <c r="H25" s="9" t="inlineStr"/>
    </row>
    <row r="26">
      <c r="A26" s="9" t="inlineStr">
        <is>
          <t>AF-214</t>
        </is>
      </c>
      <c r="B26" s="9" t="inlineStr">
        <is>
          <t>P1</t>
        </is>
      </c>
      <c r="C26" s="9" t="inlineStr">
        <is>
          <t>Payout list filters: status, agent, date range (from &gt; to, same day, end-of-day inclusive)</t>
        </is>
      </c>
      <c r="D26" s="9" t="inlineStr">
        <is>
          <t>Correct</t>
        </is>
      </c>
      <c r="E26" s="9" t="inlineStr">
        <is>
          <t>Not Run</t>
        </is>
      </c>
      <c r="F26" s="9" t="inlineStr"/>
      <c r="G26" s="9" t="inlineStr"/>
      <c r="H26" s="9" t="inlineStr"/>
    </row>
    <row r="27">
      <c r="A27" s="9" t="inlineStr">
        <is>
          <t>AF-215</t>
        </is>
      </c>
      <c r="B27" s="9" t="inlineStr">
        <is>
          <t>P1</t>
        </is>
      </c>
      <c r="C27" s="9" t="inlineStr">
        <is>
          <t>Payout code PAY000123 formatting</t>
        </is>
      </c>
      <c r="D27" s="9" t="inlineStr">
        <is>
          <t>Stable</t>
        </is>
      </c>
      <c r="E27" s="9" t="inlineStr">
        <is>
          <t>Not Run</t>
        </is>
      </c>
      <c r="F27" s="9" t="inlineStr"/>
      <c r="G27" s="9" t="inlineStr"/>
      <c r="H27" s="9" t="inlineStr"/>
    </row>
    <row r="28">
      <c r="A28" s="9" t="inlineStr">
        <is>
          <t>AF-216</t>
        </is>
      </c>
      <c r="B28" s="9" t="inlineStr">
        <is>
          <t>P1</t>
        </is>
      </c>
      <c r="C28" s="9" t="inlineStr">
        <is>
          <t>Amount precision: 3 commissions 0.10+0.20+0.30</t>
        </is>
      </c>
      <c r="D28" s="9" t="inlineStr">
        <is>
          <t>Exactly 0.60 (paise arithmetic)</t>
        </is>
      </c>
      <c r="E28" s="9" t="inlineStr">
        <is>
          <t>Not Run</t>
        </is>
      </c>
      <c r="F28" s="9" t="inlineStr"/>
      <c r="G28" s="9" t="inlineStr"/>
      <c r="H28" s="9" t="inlineStr"/>
    </row>
    <row r="29">
      <c r="A29" s="9" t="inlineStr">
        <is>
          <t>AF-217</t>
        </is>
      </c>
      <c r="B29" s="9" t="inlineStr">
        <is>
          <t>P1</t>
        </is>
      </c>
      <c r="C29" s="9" t="inlineStr">
        <is>
          <t>Minimum payout threshold</t>
        </is>
      </c>
      <c r="D29" s="9" t="inlineStr">
        <is>
          <t>None in code – confirm requirement</t>
        </is>
      </c>
      <c r="E29" s="9" t="inlineStr">
        <is>
          <t>Not Run</t>
        </is>
      </c>
      <c r="F29" s="9" t="inlineStr"/>
      <c r="G29" s="9" t="inlineStr"/>
      <c r="H29" s="9" t="inlineStr"/>
    </row>
    <row r="30">
      <c r="A30" s="9" t="inlineStr">
        <is>
          <t>AF-218</t>
        </is>
      </c>
      <c r="B30" s="9" t="inlineStr">
        <is>
          <t>P1</t>
        </is>
      </c>
      <c r="C30" s="9" t="inlineStr">
        <is>
          <t>Agent deactivated with approved balance</t>
        </is>
      </c>
      <c r="D30" s="9" t="inlineStr">
        <is>
          <t>Can still be paid by admin? confirm policy</t>
        </is>
      </c>
      <c r="E30" s="9" t="inlineStr">
        <is>
          <t>Not Run</t>
        </is>
      </c>
      <c r="F30" s="9" t="inlineStr"/>
      <c r="G30" s="9" t="inlineStr"/>
      <c r="H30" s="9" t="inlineStr"/>
    </row>
  </sheetData>
  <autoFilter ref="A1:H30"/>
  <conditionalFormatting sqref="E2:E30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</conditionalFormatting>
  <dataValidations count="1">
    <dataValidation sqref="E2:E30" showDropDown="0" showInputMessage="0" showErrorMessage="0" allowBlank="1" type="list">
      <formula1>"Not Run,Pass,Fail,Blocked,N/A"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6" customWidth="1" min="2" max="2"/>
    <col width="48" customWidth="1" min="3" max="3"/>
    <col width="48" customWidth="1" min="4" max="4"/>
    <col width="11" customWidth="1" min="5" max="5"/>
    <col width="12" customWidth="1" min="6" max="6"/>
    <col width="12" customWidth="1" min="7" max="7"/>
    <col width="28" customWidth="1" min="8" max="8"/>
  </cols>
  <sheetData>
    <row r="1">
      <c r="A1" s="8" t="inlineStr">
        <is>
          <t>ID</t>
        </is>
      </c>
      <c r="B1" s="8" t="inlineStr">
        <is>
          <t>P</t>
        </is>
      </c>
      <c r="C1" s="8" t="inlineStr">
        <is>
          <t>Scenario</t>
        </is>
      </c>
      <c r="D1" s="8" t="inlineStr">
        <is>
          <t>Expected</t>
        </is>
      </c>
      <c r="E1" s="8" t="inlineStr">
        <is>
          <t>Status</t>
        </is>
      </c>
      <c r="F1" s="8" t="inlineStr">
        <is>
          <t>Tester</t>
        </is>
      </c>
      <c r="G1" s="8" t="inlineStr">
        <is>
          <t>Date</t>
        </is>
      </c>
      <c r="H1" s="8" t="inlineStr">
        <is>
          <t>Remarks</t>
        </is>
      </c>
    </row>
    <row r="2">
      <c r="A2" s="9" t="inlineStr">
        <is>
          <t>AF-230</t>
        </is>
      </c>
      <c r="B2" s="9" t="inlineStr">
        <is>
          <t>P1</t>
        </is>
      </c>
      <c r="C2" s="9" t="inlineStr">
        <is>
          <t>Profile wizard steps save independently</t>
        </is>
      </c>
      <c r="D2" s="9" t="inlineStr">
        <is>
          <t>Resume where left</t>
        </is>
      </c>
      <c r="E2" s="9" t="inlineStr">
        <is>
          <t>Not Run</t>
        </is>
      </c>
      <c r="F2" s="9" t="inlineStr"/>
      <c r="G2" s="9" t="inlineStr"/>
      <c r="H2" s="9" t="inlineStr"/>
    </row>
    <row r="3">
      <c r="A3" s="9" t="inlineStr">
        <is>
          <t>AF-231</t>
        </is>
      </c>
      <c r="B3" s="9" t="inlineStr">
        <is>
          <t>P1</t>
        </is>
      </c>
      <c r="C3" s="9" t="inlineStr">
        <is>
          <t>UPI valid: a@upi, a.b-c_d@okaxis; invalid: a@, @upi, a@b1, no @, 257 chars</t>
        </is>
      </c>
      <c r="D3" s="9" t="inlineStr">
        <is>
          <t>regex ^[A-Za-z0-9.\-_]{2,256}@[A-Za-z]{2,64}$</t>
        </is>
      </c>
      <c r="E3" s="9" t="inlineStr">
        <is>
          <t>Not Run</t>
        </is>
      </c>
      <c r="F3" s="9" t="inlineStr"/>
      <c r="G3" s="9" t="inlineStr"/>
      <c r="H3" s="9" t="inlineStr"/>
    </row>
    <row r="4">
      <c r="A4" s="9" t="inlineStr">
        <is>
          <t>AF-232</t>
        </is>
      </c>
      <c r="B4" s="9" t="inlineStr">
        <is>
          <t>P1</t>
        </is>
      </c>
      <c r="C4" s="9" t="inlineStr">
        <is>
          <t>IFSC SBIN0001234 ✓; sbin0001234, SBIN1001234, 10 chars ✗</t>
        </is>
      </c>
      <c r="D4" s="9" t="inlineStr">
        <is>
          <t>regex ^[A-Z]{4}0[A-Z0-9]{6}$</t>
        </is>
      </c>
      <c r="E4" s="9" t="inlineStr">
        <is>
          <t>Not Run</t>
        </is>
      </c>
      <c r="F4" s="9" t="inlineStr"/>
      <c r="G4" s="9" t="inlineStr"/>
      <c r="H4" s="9" t="inlineStr"/>
    </row>
    <row r="5">
      <c r="A5" s="9" t="inlineStr">
        <is>
          <t>AF-233</t>
        </is>
      </c>
      <c r="B5" s="9" t="inlineStr">
        <is>
          <t>P1</t>
        </is>
      </c>
      <c r="C5" s="9" t="inlineStr">
        <is>
          <t>Account no 8 ✗, 9 ✓, 18 ✓, 19 ✗, letters ✗</t>
        </is>
      </c>
      <c r="D5" s="9" t="inlineStr"/>
      <c r="E5" s="9" t="inlineStr">
        <is>
          <t>Not Run</t>
        </is>
      </c>
      <c r="F5" s="9" t="inlineStr"/>
      <c r="G5" s="9" t="inlineStr"/>
      <c r="H5" s="9" t="inlineStr"/>
    </row>
    <row r="6">
      <c r="A6" s="9" t="inlineStr">
        <is>
          <t>AF-234</t>
        </is>
      </c>
      <c r="B6" s="9" t="inlineStr">
        <is>
          <t>P1</t>
        </is>
      </c>
      <c r="C6" s="9" t="inlineStr">
        <is>
          <t>Holder name digits ✗, O'Brien-Rao Jr. ✓</t>
        </is>
      </c>
      <c r="D6" s="9" t="inlineStr"/>
      <c r="E6" s="9" t="inlineStr">
        <is>
          <t>Not Run</t>
        </is>
      </c>
      <c r="F6" s="9" t="inlineStr"/>
      <c r="G6" s="9" t="inlineStr"/>
      <c r="H6" s="9" t="inlineStr"/>
    </row>
    <row r="7">
      <c r="A7" s="9" t="inlineStr">
        <is>
          <t>AF-235</t>
        </is>
      </c>
      <c r="B7" s="9" t="inlineStr">
        <is>
          <t>P0</t>
        </is>
      </c>
      <c r="C7" s="9" t="inlineStr">
        <is>
          <t>Account number stored encrypted</t>
        </is>
      </c>
      <c r="D7" s="9" t="inlineStr">
        <is>
          <t>DB column not plaintext; last4 correct</t>
        </is>
      </c>
      <c r="E7" s="9" t="inlineStr">
        <is>
          <t>Not Run</t>
        </is>
      </c>
      <c r="F7" s="9" t="inlineStr"/>
      <c r="G7" s="9" t="inlineStr"/>
      <c r="H7" s="9" t="inlineStr"/>
    </row>
    <row r="8">
      <c r="A8" s="9" t="inlineStr">
        <is>
          <t>AF-236</t>
        </is>
      </c>
      <c r="B8" s="9" t="inlineStr">
        <is>
          <t>P1</t>
        </is>
      </c>
      <c r="C8" s="9" t="inlineStr">
        <is>
          <t>Documents upload: type (jpg/png/pdf ✓, exe/svg ✗), size limit, corrupt file</t>
        </is>
      </c>
      <c r="D8" s="9" t="inlineStr">
        <is>
          <t>Proper errors</t>
        </is>
      </c>
      <c r="E8" s="9" t="inlineStr">
        <is>
          <t>Not Run</t>
        </is>
      </c>
      <c r="F8" s="9" t="inlineStr"/>
      <c r="G8" s="9" t="inlineStr"/>
      <c r="H8" s="9" t="inlineStr"/>
    </row>
    <row r="9">
      <c r="A9" s="9" t="inlineStr">
        <is>
          <t>AF-237</t>
        </is>
      </c>
      <c r="B9" s="9" t="inlineStr">
        <is>
          <t>P0</t>
        </is>
      </c>
      <c r="C9" s="9" t="inlineStr">
        <is>
          <t>Document access: A fetches B's document URL; admin fetches</t>
        </is>
      </c>
      <c r="D9" s="9" t="inlineStr">
        <is>
          <t>A 403/404; admin ok</t>
        </is>
      </c>
      <c r="E9" s="9" t="inlineStr">
        <is>
          <t>Not Run</t>
        </is>
      </c>
      <c r="F9" s="9" t="inlineStr"/>
      <c r="G9" s="9" t="inlineStr"/>
      <c r="H9" s="9" t="inlineStr"/>
    </row>
    <row r="10">
      <c r="A10" s="9" t="inlineStr">
        <is>
          <t>AF-238</t>
        </is>
      </c>
      <c r="B10" s="9" t="inlineStr">
        <is>
          <t>P1</t>
        </is>
      </c>
      <c r="C10" s="9" t="inlineStr">
        <is>
          <t>Admin review (approve / reject KYC) → agent sees status</t>
        </is>
      </c>
      <c r="D10" s="9" t="inlineStr">
        <is>
          <t>Reflected; payout gating if KYC required – confirm</t>
        </is>
      </c>
      <c r="E10" s="9" t="inlineStr">
        <is>
          <t>Not Run</t>
        </is>
      </c>
      <c r="F10" s="9" t="inlineStr"/>
      <c r="G10" s="9" t="inlineStr"/>
      <c r="H10" s="9" t="inlineStr"/>
    </row>
    <row r="11">
      <c r="A11" s="9" t="inlineStr">
        <is>
          <t>AF-239</t>
        </is>
      </c>
      <c r="B11" s="9" t="inlineStr">
        <is>
          <t>P1</t>
        </is>
      </c>
      <c r="C11" s="9" t="inlineStr">
        <is>
          <t>Profile photo upload/replace/remove</t>
        </is>
      </c>
      <c r="D11" s="9" t="inlineStr">
        <is>
          <t>Works; old file removed</t>
        </is>
      </c>
      <c r="E11" s="9" t="inlineStr">
        <is>
          <t>Not Run</t>
        </is>
      </c>
      <c r="F11" s="9" t="inlineStr"/>
      <c r="G11" s="9" t="inlineStr"/>
      <c r="H11" s="9" t="inlineStr"/>
    </row>
    <row r="12">
      <c r="A12" s="9" t="inlineStr">
        <is>
          <t>AF-240</t>
        </is>
      </c>
      <c r="B12" s="9" t="inlineStr">
        <is>
          <t>P1</t>
        </is>
      </c>
      <c r="C12" s="9" t="inlineStr">
        <is>
          <t>Completion % card matches fields</t>
        </is>
      </c>
      <c r="D12" s="9" t="inlineStr">
        <is>
          <t>profile-completion.ts</t>
        </is>
      </c>
      <c r="E12" s="9" t="inlineStr">
        <is>
          <t>Not Run</t>
        </is>
      </c>
      <c r="F12" s="9" t="inlineStr"/>
      <c r="G12" s="9" t="inlineStr"/>
      <c r="H12" s="9" t="inlineStr"/>
    </row>
  </sheetData>
  <autoFilter ref="A1:H12"/>
  <conditionalFormatting sqref="E2:E12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</conditionalFormatting>
  <dataValidations count="1">
    <dataValidation sqref="E2:E12" showDropDown="0" showInputMessage="0" showErrorMessage="0" allowBlank="1" type="list">
      <formula1>"Not Run,Pass,Fail,Blocked,N/A"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6" customWidth="1" min="2" max="2"/>
    <col width="48" customWidth="1" min="3" max="3"/>
    <col width="48" customWidth="1" min="4" max="4"/>
    <col width="11" customWidth="1" min="5" max="5"/>
    <col width="12" customWidth="1" min="6" max="6"/>
    <col width="12" customWidth="1" min="7" max="7"/>
    <col width="28" customWidth="1" min="8" max="8"/>
  </cols>
  <sheetData>
    <row r="1">
      <c r="A1" s="8" t="inlineStr">
        <is>
          <t>ID</t>
        </is>
      </c>
      <c r="B1" s="8" t="inlineStr">
        <is>
          <t>P</t>
        </is>
      </c>
      <c r="C1" s="8" t="inlineStr">
        <is>
          <t>Scenario</t>
        </is>
      </c>
      <c r="D1" s="8" t="inlineStr">
        <is>
          <t>Expected</t>
        </is>
      </c>
      <c r="E1" s="8" t="inlineStr">
        <is>
          <t>Status</t>
        </is>
      </c>
      <c r="F1" s="8" t="inlineStr">
        <is>
          <t>Tester</t>
        </is>
      </c>
      <c r="G1" s="8" t="inlineStr">
        <is>
          <t>Date</t>
        </is>
      </c>
      <c r="H1" s="8" t="inlineStr">
        <is>
          <t>Remarks</t>
        </is>
      </c>
    </row>
    <row r="2">
      <c r="A2" s="9" t="inlineStr">
        <is>
          <t>AF-250</t>
        </is>
      </c>
      <c r="B2" s="9" t="inlineStr">
        <is>
          <t>P1</t>
        </is>
      </c>
      <c r="C2" s="9" t="inlineStr">
        <is>
          <t>Create agent (valid)</t>
        </is>
      </c>
      <c r="D2" s="9" t="inlineStr">
        <is>
          <t>User role agent + profile + unique agent_code + referral_code</t>
        </is>
      </c>
      <c r="E2" s="9" t="inlineStr">
        <is>
          <t>Not Run</t>
        </is>
      </c>
      <c r="F2" s="9" t="inlineStr"/>
      <c r="G2" s="9" t="inlineStr"/>
      <c r="H2" s="9" t="inlineStr"/>
    </row>
    <row r="3">
      <c r="A3" s="9" t="inlineStr">
        <is>
          <t>AF-251</t>
        </is>
      </c>
      <c r="B3" s="9" t="inlineStr">
        <is>
          <t>P1</t>
        </is>
      </c>
      <c r="C3" s="9" t="inlineStr">
        <is>
          <t>Duplicate email / phone (also vs soft-deleted users)</t>
        </is>
      </c>
      <c r="D3" s="9" t="inlineStr">
        <is>
          <t>Clear error; deleted users release unique values</t>
        </is>
      </c>
      <c r="E3" s="9" t="inlineStr">
        <is>
          <t>Not Run</t>
        </is>
      </c>
      <c r="F3" s="9" t="inlineStr"/>
      <c r="G3" s="9" t="inlineStr"/>
      <c r="H3" s="9" t="inlineStr"/>
    </row>
    <row r="4">
      <c r="A4" s="9" t="inlineStr">
        <is>
          <t>AF-252</t>
        </is>
      </c>
      <c r="B4" s="9" t="inlineStr">
        <is>
          <t>P1</t>
        </is>
      </c>
      <c r="C4" s="9" t="inlineStr">
        <is>
          <t>Field limits (name 2–150, pwd 8–100, notes ≤500, phone 7–20)</t>
        </is>
      </c>
      <c r="D4" s="9" t="inlineStr">
        <is>
          <t>per agent.schema.ts</t>
        </is>
      </c>
      <c r="E4" s="9" t="inlineStr">
        <is>
          <t>Not Run</t>
        </is>
      </c>
      <c r="F4" s="9" t="inlineStr"/>
      <c r="G4" s="9" t="inlineStr"/>
      <c r="H4" s="9" t="inlineStr"/>
    </row>
    <row r="5">
      <c r="A5" s="9" t="inlineStr">
        <is>
          <t>AF-253</t>
        </is>
      </c>
      <c r="B5" s="9" t="inlineStr">
        <is>
          <t>P1</t>
        </is>
      </c>
      <c r="C5" s="9" t="inlineStr">
        <is>
          <t>Edit, empty body</t>
        </is>
      </c>
      <c r="D5" s="9" t="inlineStr">
        <is>
          <t>"Nothing to update"</t>
        </is>
      </c>
      <c r="E5" s="9" t="inlineStr">
        <is>
          <t>Not Run</t>
        </is>
      </c>
      <c r="F5" s="9" t="inlineStr"/>
      <c r="G5" s="9" t="inlineStr"/>
      <c r="H5" s="9" t="inlineStr"/>
    </row>
    <row r="6">
      <c r="A6" s="9" t="inlineStr">
        <is>
          <t>AF-254</t>
        </is>
      </c>
      <c r="B6" s="9" t="inlineStr">
        <is>
          <t>P0</t>
        </is>
      </c>
      <c r="C6" s="9" t="inlineStr">
        <is>
          <t>Deactivate</t>
        </is>
      </c>
      <c r="D6" s="9" t="inlineStr">
        <is>
          <t>Cannot login (message); sessions/refresh tokens invalid; referral stops crediting; existing commissions/payouts intact</t>
        </is>
      </c>
      <c r="E6" s="9" t="inlineStr">
        <is>
          <t>Not Run</t>
        </is>
      </c>
      <c r="F6" s="9" t="inlineStr"/>
      <c r="G6" s="9" t="inlineStr"/>
      <c r="H6" s="9" t="inlineStr"/>
    </row>
    <row r="7">
      <c r="A7" s="9" t="inlineStr">
        <is>
          <t>AF-255</t>
        </is>
      </c>
      <c r="B7" s="9" t="inlineStr">
        <is>
          <t>P1</t>
        </is>
      </c>
      <c r="C7" s="9" t="inlineStr">
        <is>
          <t>Reset password</t>
        </is>
      </c>
      <c r="D7" s="9" t="inlineStr">
        <is>
          <t>Old password fails, new works, old sessions revoked</t>
        </is>
      </c>
      <c r="E7" s="9" t="inlineStr">
        <is>
          <t>Not Run</t>
        </is>
      </c>
      <c r="F7" s="9" t="inlineStr"/>
      <c r="G7" s="9" t="inlineStr"/>
      <c r="H7" s="9" t="inlineStr"/>
    </row>
    <row r="8">
      <c r="A8" s="9" t="inlineStr">
        <is>
          <t>AF-256</t>
        </is>
      </c>
      <c r="B8" s="9" t="inlineStr">
        <is>
          <t>P1</t>
        </is>
      </c>
      <c r="C8" s="9" t="inlineStr">
        <is>
          <t>Agent detail tabs: profile, orders, own purchases, commissions, payouts, customers</t>
        </is>
      </c>
      <c r="D8" s="9" t="inlineStr">
        <is>
          <t>Totals equal list sums</t>
        </is>
      </c>
      <c r="E8" s="9" t="inlineStr">
        <is>
          <t>Not Run</t>
        </is>
      </c>
      <c r="F8" s="9" t="inlineStr"/>
      <c r="G8" s="9" t="inlineStr"/>
      <c r="H8" s="9" t="inlineStr"/>
    </row>
    <row r="9">
      <c r="A9" s="9" t="inlineStr">
        <is>
          <t>AF-257</t>
        </is>
      </c>
      <c r="B9" s="9" t="inlineStr">
        <is>
          <t>P1</t>
        </is>
      </c>
      <c r="C9" s="9" t="inlineStr">
        <is>
          <t>Admin filters (agent, status, date, order source, commission status) combine correctly</t>
        </is>
      </c>
      <c r="D9" s="9" t="inlineStr"/>
      <c r="E9" s="9" t="inlineStr">
        <is>
          <t>Not Run</t>
        </is>
      </c>
      <c r="F9" s="9" t="inlineStr"/>
      <c r="G9" s="9" t="inlineStr"/>
      <c r="H9" s="9" t="inlineStr"/>
    </row>
    <row r="10">
      <c r="A10" s="9" t="inlineStr">
        <is>
          <t>AF-258</t>
        </is>
      </c>
      <c r="B10" s="9" t="inlineStr">
        <is>
          <t>P0</t>
        </is>
      </c>
      <c r="C10" s="9" t="inlineStr">
        <is>
          <t>Admin cannot edit a commission amount/% anywhere</t>
        </is>
      </c>
      <c r="D10" s="9" t="inlineStr">
        <is>
          <t>No such endpoint</t>
        </is>
      </c>
      <c r="E10" s="9" t="inlineStr">
        <is>
          <t>Not Run</t>
        </is>
      </c>
      <c r="F10" s="9" t="inlineStr"/>
      <c r="G10" s="9" t="inlineStr"/>
      <c r="H10" s="9" t="inlineStr"/>
    </row>
    <row r="11">
      <c r="A11" s="9" t="inlineStr">
        <is>
          <t>AF-259</t>
        </is>
      </c>
      <c r="B11" s="9" t="inlineStr">
        <is>
          <t>P1</t>
        </is>
      </c>
      <c r="C11" s="9" t="inlineStr">
        <is>
          <t>Commission rates admin: create/update/deactivate for global/category/product; duplicates; % 0, 100, 100.01, negative, 2-dec precision</t>
        </is>
      </c>
      <c r="D11" s="9" t="inlineStr">
        <is>
          <t>Validation + uniqueness</t>
        </is>
      </c>
      <c r="E11" s="9" t="inlineStr">
        <is>
          <t>Not Run</t>
        </is>
      </c>
      <c r="F11" s="9" t="inlineStr"/>
      <c r="G11" s="9" t="inlineStr"/>
      <c r="H11" s="9" t="inlineStr"/>
    </row>
    <row r="12">
      <c r="A12" s="9" t="inlineStr">
        <is>
          <t>AF-260</t>
        </is>
      </c>
      <c r="B12" s="9" t="inlineStr">
        <is>
          <t>P1</t>
        </is>
      </c>
      <c r="C12" s="9" t="inlineStr">
        <is>
          <t>Commission reports (totals by agent/period)</t>
        </is>
      </c>
      <c r="D12" s="9" t="inlineStr">
        <is>
          <t>Equal to raw commission sums; excludes cancelled/reversed as designed</t>
        </is>
      </c>
      <c r="E12" s="9" t="inlineStr">
        <is>
          <t>Not Run</t>
        </is>
      </c>
      <c r="F12" s="9" t="inlineStr"/>
      <c r="G12" s="9" t="inlineStr"/>
      <c r="H12" s="9" t="inlineStr"/>
    </row>
    <row r="13">
      <c r="A13" s="9" t="inlineStr">
        <is>
          <t>AF-261</t>
        </is>
      </c>
      <c r="B13" s="9" t="inlineStr">
        <is>
          <t>P1</t>
        </is>
      </c>
      <c r="C13" s="9" t="inlineStr">
        <is>
          <t>Audit viewer for commission/payout</t>
        </is>
      </c>
      <c r="D13" s="9" t="inlineStr">
        <is>
          <t>Chronological, actor + role, from/to status</t>
        </is>
      </c>
      <c r="E13" s="9" t="inlineStr">
        <is>
          <t>Not Run</t>
        </is>
      </c>
      <c r="F13" s="9" t="inlineStr"/>
      <c r="G13" s="9" t="inlineStr"/>
      <c r="H13" s="9" t="inlineStr"/>
    </row>
    <row r="14">
      <c r="A14" s="9" t="inlineStr">
        <is>
          <t>AF-262</t>
        </is>
      </c>
      <c r="B14" s="9" t="inlineStr">
        <is>
          <t>P1</t>
        </is>
      </c>
      <c r="C14" s="9" t="inlineStr">
        <is>
          <t>Staff / limited-permission admin</t>
        </is>
      </c>
      <c r="D14" s="9" t="inlineStr">
        <is>
          <t>Only permitted pages/APIs</t>
        </is>
      </c>
      <c r="E14" s="9" t="inlineStr">
        <is>
          <t>Not Run</t>
        </is>
      </c>
      <c r="F14" s="9" t="inlineStr"/>
      <c r="G14" s="9" t="inlineStr"/>
      <c r="H14" s="9" t="inlineStr"/>
    </row>
  </sheetData>
  <autoFilter ref="A1:H14"/>
  <conditionalFormatting sqref="E2:E14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</conditionalFormatting>
  <dataValidations count="1">
    <dataValidation sqref="E2:E14" showDropDown="0" showInputMessage="0" showErrorMessage="0" allowBlank="1" type="list">
      <formula1>"Not Run,Pass,Fail,Blocked,N/A"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8" customWidth="1" min="2" max="2"/>
    <col width="28" customWidth="1" min="3" max="3"/>
    <col width="11" customWidth="1" min="4" max="4"/>
    <col width="12" customWidth="1" min="5" max="5"/>
    <col width="12" customWidth="1" min="6" max="6"/>
    <col width="28" customWidth="1" min="7" max="7"/>
  </cols>
  <sheetData>
    <row r="1">
      <c r="A1" s="8" t="inlineStr">
        <is>
          <t>ID</t>
        </is>
      </c>
      <c r="B1" s="8" t="inlineStr">
        <is>
          <t>Endpoint</t>
        </is>
      </c>
      <c r="C1" s="8" t="inlineStr">
        <is>
          <t>Agent expected</t>
        </is>
      </c>
      <c r="D1" s="8" t="inlineStr">
        <is>
          <t>Status</t>
        </is>
      </c>
      <c r="E1" s="8" t="inlineStr">
        <is>
          <t>Tester</t>
        </is>
      </c>
      <c r="F1" s="8" t="inlineStr">
        <is>
          <t>Date</t>
        </is>
      </c>
      <c r="G1" s="8" t="inlineStr">
        <is>
          <t>Remarks</t>
        </is>
      </c>
    </row>
    <row r="2">
      <c r="A2" s="9" t="inlineStr">
        <is>
          <t>AF-270</t>
        </is>
      </c>
      <c r="B2" s="9" t="inlineStr">
        <is>
          <t>/api/admin/agents* (all)</t>
        </is>
      </c>
      <c r="C2" s="9" t="inlineStr">
        <is>
          <t>403</t>
        </is>
      </c>
      <c r="D2" s="9" t="inlineStr">
        <is>
          <t>Not Run</t>
        </is>
      </c>
      <c r="E2" s="9" t="inlineStr"/>
      <c r="F2" s="9" t="inlineStr"/>
      <c r="G2" s="9" t="inlineStr"/>
    </row>
    <row r="3">
      <c r="A3" s="9" t="inlineStr">
        <is>
          <t>AF-271</t>
        </is>
      </c>
      <c r="B3" s="9" t="inlineStr">
        <is>
          <t>/api/admin/commissions*, /approve-eligible, /audit</t>
        </is>
      </c>
      <c r="C3" s="9" t="inlineStr">
        <is>
          <t>403</t>
        </is>
      </c>
      <c r="D3" s="9" t="inlineStr">
        <is>
          <t>Not Run</t>
        </is>
      </c>
      <c r="E3" s="9" t="inlineStr"/>
      <c r="F3" s="9" t="inlineStr"/>
      <c r="G3" s="9" t="inlineStr"/>
    </row>
    <row r="4">
      <c r="A4" s="9" t="inlineStr">
        <is>
          <t>AF-272</t>
        </is>
      </c>
      <c r="B4" s="9" t="inlineStr">
        <is>
          <t>/api/admin/agent-payouts/* approve/reject/mark-paid/destination</t>
        </is>
      </c>
      <c r="C4" s="9" t="inlineStr">
        <is>
          <t>403</t>
        </is>
      </c>
      <c r="D4" s="9" t="inlineStr">
        <is>
          <t>Not Run</t>
        </is>
      </c>
      <c r="E4" s="9" t="inlineStr"/>
      <c r="F4" s="9" t="inlineStr"/>
      <c r="G4" s="9" t="inlineStr"/>
    </row>
    <row r="5">
      <c r="A5" s="9" t="inlineStr">
        <is>
          <t>AF-273</t>
        </is>
      </c>
      <c r="B5" s="9" t="inlineStr">
        <is>
          <t>/api/admin/commission-rates*, /commission-settings, /commission-reports</t>
        </is>
      </c>
      <c r="C5" s="9" t="inlineStr">
        <is>
          <t>403</t>
        </is>
      </c>
      <c r="D5" s="9" t="inlineStr">
        <is>
          <t>Not Run</t>
        </is>
      </c>
      <c r="E5" s="9" t="inlineStr"/>
      <c r="F5" s="9" t="inlineStr"/>
      <c r="G5" s="9" t="inlineStr"/>
    </row>
    <row r="6">
      <c r="A6" s="9" t="inlineStr">
        <is>
          <t>AF-274</t>
        </is>
      </c>
      <c r="B6" s="9" t="inlineStr">
        <is>
          <t>/api/admin/customers/:id/agent</t>
        </is>
      </c>
      <c r="C6" s="9" t="inlineStr">
        <is>
          <t>403</t>
        </is>
      </c>
      <c r="D6" s="9" t="inlineStr">
        <is>
          <t>Not Run</t>
        </is>
      </c>
      <c r="E6" s="9" t="inlineStr"/>
      <c r="F6" s="9" t="inlineStr"/>
      <c r="G6" s="9" t="inlineStr"/>
    </row>
    <row r="7">
      <c r="A7" s="9" t="inlineStr">
        <is>
          <t>AF-275</t>
        </is>
      </c>
      <c r="B7" s="9" t="inlineStr">
        <is>
          <t>/api/admin/agent-orders</t>
        </is>
      </c>
      <c r="C7" s="9" t="inlineStr">
        <is>
          <t>403</t>
        </is>
      </c>
      <c r="D7" s="9" t="inlineStr">
        <is>
          <t>Not Run</t>
        </is>
      </c>
      <c r="E7" s="9" t="inlineStr"/>
      <c r="F7" s="9" t="inlineStr"/>
      <c r="G7" s="9" t="inlineStr"/>
    </row>
    <row r="8">
      <c r="A8" s="9" t="inlineStr">
        <is>
          <t>AF-276</t>
        </is>
      </c>
      <c r="B8" s="9" t="inlineStr">
        <is>
          <t>/api/agent/* as customer</t>
        </is>
      </c>
      <c r="C8" s="9" t="inlineStr">
        <is>
          <t>403</t>
        </is>
      </c>
      <c r="D8" s="9" t="inlineStr">
        <is>
          <t>Not Run</t>
        </is>
      </c>
      <c r="E8" s="9" t="inlineStr"/>
      <c r="F8" s="9" t="inlineStr"/>
      <c r="G8" s="9" t="inlineStr"/>
    </row>
    <row r="9">
      <c r="A9" s="9" t="inlineStr">
        <is>
          <t>AF-277</t>
        </is>
      </c>
      <c r="B9" s="9" t="inlineStr">
        <is>
          <t>/api/agent/* as deactivated agent (valid old token)</t>
        </is>
      </c>
      <c r="C9" s="9" t="inlineStr">
        <is>
          <t>401/403</t>
        </is>
      </c>
      <c r="D9" s="9" t="inlineStr">
        <is>
          <t>Not Run</t>
        </is>
      </c>
      <c r="E9" s="9" t="inlineStr"/>
      <c r="F9" s="9" t="inlineStr"/>
      <c r="G9" s="9" t="inlineStr"/>
    </row>
    <row r="10">
      <c r="A10" s="9" t="inlineStr">
        <is>
          <t>AF-278</t>
        </is>
      </c>
      <c r="B10" s="9" t="inlineStr">
        <is>
          <t>IDOR: change uuids in /api/agent/orders, /customers/:uuid/addresses, /payouts</t>
        </is>
      </c>
      <c r="C10" s="9" t="inlineStr">
        <is>
          <t>Only own resources</t>
        </is>
      </c>
      <c r="D10" s="9" t="inlineStr">
        <is>
          <t>Not Run</t>
        </is>
      </c>
      <c r="E10" s="9" t="inlineStr"/>
      <c r="F10" s="9" t="inlineStr"/>
      <c r="G10" s="9" t="inlineStr"/>
    </row>
    <row r="11">
      <c r="A11" s="9" t="inlineStr">
        <is>
          <t>AF-279</t>
        </is>
      </c>
      <c r="B11" s="9" t="inlineStr">
        <is>
          <t>Mass assignment: send agentId, commission_percentage, orderSource, status, paymentStatus in place-order body</t>
        </is>
      </c>
      <c r="C11" s="9" t="inlineStr">
        <is>
          <t>Ignored / rejected</t>
        </is>
      </c>
      <c r="D11" s="9" t="inlineStr">
        <is>
          <t>Not Run</t>
        </is>
      </c>
      <c r="E11" s="9" t="inlineStr"/>
      <c r="F11" s="9" t="inlineStr"/>
      <c r="G11" s="9" t="inlineStr"/>
    </row>
    <row r="12">
      <c r="A12" s="9" t="inlineStr">
        <is>
          <t>AF-280</t>
        </is>
      </c>
      <c r="B12" s="9" t="inlineStr">
        <is>
          <t>CSRF: place order from foreign origin with cookie</t>
        </is>
      </c>
      <c r="C12" s="9" t="inlineStr">
        <is>
          <t>Blocked per app policy</t>
        </is>
      </c>
      <c r="D12" s="9" t="inlineStr">
        <is>
          <t>Not Run</t>
        </is>
      </c>
      <c r="E12" s="9" t="inlineStr"/>
      <c r="F12" s="9" t="inlineStr"/>
      <c r="G12" s="9" t="inlineStr"/>
    </row>
    <row r="13">
      <c r="A13" s="9" t="inlineStr">
        <is>
          <t>AF-281</t>
        </is>
      </c>
      <c r="B13" s="9" t="inlineStr">
        <is>
          <t>Rate limit / brute force on place-order and payout request</t>
        </is>
      </c>
      <c r="C13" s="9" t="inlineStr">
        <is>
          <t>Throttled or at least no data corruption</t>
        </is>
      </c>
      <c r="D13" s="9" t="inlineStr">
        <is>
          <t>Not Run</t>
        </is>
      </c>
      <c r="E13" s="9" t="inlineStr"/>
      <c r="F13" s="9" t="inlineStr"/>
      <c r="G13" s="9" t="inlineStr"/>
    </row>
    <row r="14">
      <c r="A14" s="9" t="inlineStr">
        <is>
          <t>AF-282</t>
        </is>
      </c>
      <c r="B14" s="9" t="inlineStr">
        <is>
          <t>Agent pages /agent/* when logged-out / as customer / as admin</t>
        </is>
      </c>
      <c r="C14" s="9" t="inlineStr">
        <is>
          <t>Redirect to login / forbidden</t>
        </is>
      </c>
      <c r="D14" s="9" t="inlineStr">
        <is>
          <t>Not Run</t>
        </is>
      </c>
      <c r="E14" s="9" t="inlineStr"/>
      <c r="F14" s="9" t="inlineStr"/>
      <c r="G14" s="9" t="inlineStr"/>
    </row>
    <row r="15">
      <c r="A15" s="9" t="inlineStr">
        <is>
          <t>AF-283</t>
        </is>
      </c>
      <c r="B15" s="9" t="inlineStr">
        <is>
          <t>Admin pages /admin/dashboard/agents as agent</t>
        </is>
      </c>
      <c r="C15" s="9" t="inlineStr">
        <is>
          <t>Blocked</t>
        </is>
      </c>
      <c r="D15" s="9" t="inlineStr">
        <is>
          <t>Not Run</t>
        </is>
      </c>
      <c r="E15" s="9" t="inlineStr"/>
      <c r="F15" s="9" t="inlineStr"/>
      <c r="G15" s="9" t="inlineStr"/>
    </row>
  </sheetData>
  <autoFilter ref="A1:G15"/>
  <conditionalFormatting sqref="D2:D1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</conditionalFormatting>
  <dataValidations count="1">
    <dataValidation sqref="D2:D15" showDropDown="0" showInputMessage="0" showErrorMessage="0" allowBlank="1" type="list">
      <formula1>"Not Run,Pass,Fail,Blocked,N/A"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6" customWidth="1" min="2" max="2"/>
    <col width="48" customWidth="1" min="3" max="3"/>
    <col width="48" customWidth="1" min="4" max="4"/>
    <col width="11" customWidth="1" min="5" max="5"/>
    <col width="12" customWidth="1" min="6" max="6"/>
    <col width="12" customWidth="1" min="7" max="7"/>
    <col width="28" customWidth="1" min="8" max="8"/>
  </cols>
  <sheetData>
    <row r="1">
      <c r="A1" s="8" t="inlineStr">
        <is>
          <t>ID</t>
        </is>
      </c>
      <c r="B1" s="8" t="inlineStr">
        <is>
          <t>P</t>
        </is>
      </c>
      <c r="C1" s="8" t="inlineStr">
        <is>
          <t>Scenario</t>
        </is>
      </c>
      <c r="D1" s="8" t="inlineStr">
        <is>
          <t>Expected</t>
        </is>
      </c>
      <c r="E1" s="8" t="inlineStr">
        <is>
          <t>Status</t>
        </is>
      </c>
      <c r="F1" s="8" t="inlineStr">
        <is>
          <t>Tester</t>
        </is>
      </c>
      <c r="G1" s="8" t="inlineStr">
        <is>
          <t>Date</t>
        </is>
      </c>
      <c r="H1" s="8" t="inlineStr">
        <is>
          <t>Remarks</t>
        </is>
      </c>
    </row>
    <row r="2">
      <c r="A2" s="9" t="inlineStr">
        <is>
          <t>AF-290</t>
        </is>
      </c>
      <c r="B2" s="9" t="inlineStr">
        <is>
          <t>P1</t>
        </is>
      </c>
      <c r="C2" s="9" t="inlineStr">
        <is>
          <t>Dashboard KPIs: customers, orders, sales, pending/approved/paid commission, available balance</t>
        </is>
      </c>
      <c r="D2" s="9" t="inlineStr">
        <is>
          <t>Match DB aggregates</t>
        </is>
      </c>
      <c r="E2" s="9" t="inlineStr">
        <is>
          <t>Not Run</t>
        </is>
      </c>
      <c r="F2" s="9" t="inlineStr"/>
      <c r="G2" s="9" t="inlineStr"/>
      <c r="H2" s="9" t="inlineStr"/>
    </row>
    <row r="3">
      <c r="A3" s="9" t="inlineStr">
        <is>
          <t>AF-291</t>
        </is>
      </c>
      <c r="B3" s="9" t="inlineStr">
        <is>
          <t>P1</t>
        </is>
      </c>
      <c r="C3" s="9" t="inlineStr">
        <is>
          <t>Brand-new agent (no data)</t>
        </is>
      </c>
      <c r="D3" s="9" t="inlineStr">
        <is>
          <t>Zero states, no NaN/undefined</t>
        </is>
      </c>
      <c r="E3" s="9" t="inlineStr">
        <is>
          <t>Not Run</t>
        </is>
      </c>
      <c r="F3" s="9" t="inlineStr"/>
      <c r="G3" s="9" t="inlineStr"/>
      <c r="H3" s="9" t="inlineStr"/>
    </row>
    <row r="4">
      <c r="A4" s="9" t="inlineStr">
        <is>
          <t>AF-292</t>
        </is>
      </c>
      <c r="B4" s="9" t="inlineStr">
        <is>
          <t>P1</t>
        </is>
      </c>
      <c r="C4" s="9" t="inlineStr">
        <is>
          <t>Referral link card: copy, correct domain, code</t>
        </is>
      </c>
      <c r="D4" s="9" t="inlineStr">
        <is>
          <t>Link opens with cookie</t>
        </is>
      </c>
      <c r="E4" s="9" t="inlineStr">
        <is>
          <t>Not Run</t>
        </is>
      </c>
      <c r="F4" s="9" t="inlineStr"/>
      <c r="G4" s="9" t="inlineStr"/>
      <c r="H4" s="9" t="inlineStr"/>
    </row>
    <row r="5">
      <c r="A5" s="9" t="inlineStr">
        <is>
          <t>AF-293</t>
        </is>
      </c>
      <c r="B5" s="9" t="inlineStr">
        <is>
          <t>P1</t>
        </is>
      </c>
      <c r="C5" s="9" t="inlineStr">
        <is>
          <t>Orders tabs: Customer Orders / Agent Own Orders</t>
        </is>
      </c>
      <c r="D5" s="9" t="inlineStr">
        <is>
          <t>Isolated lists; source badge, "Ordered by"</t>
        </is>
      </c>
      <c r="E5" s="9" t="inlineStr">
        <is>
          <t>Not Run</t>
        </is>
      </c>
      <c r="F5" s="9" t="inlineStr"/>
      <c r="G5" s="9" t="inlineStr"/>
      <c r="H5" s="9" t="inlineStr"/>
    </row>
    <row r="6">
      <c r="A6" s="9" t="inlineStr">
        <is>
          <t>AF-294</t>
        </is>
      </c>
      <c r="B6" s="9" t="inlineStr">
        <is>
          <t>P1</t>
        </is>
      </c>
      <c r="C6" s="9" t="inlineStr">
        <is>
          <t>Order list filters (source, status, date), search by order no.</t>
        </is>
      </c>
      <c r="D6" s="9" t="inlineStr">
        <is>
          <t>Correct</t>
        </is>
      </c>
      <c r="E6" s="9" t="inlineStr">
        <is>
          <t>Not Run</t>
        </is>
      </c>
      <c r="F6" s="9" t="inlineStr"/>
      <c r="G6" s="9" t="inlineStr"/>
      <c r="H6" s="9" t="inlineStr"/>
    </row>
    <row r="7">
      <c r="A7" s="9" t="inlineStr">
        <is>
          <t>AF-295</t>
        </is>
      </c>
      <c r="B7" s="9" t="inlineStr">
        <is>
          <t>P1</t>
        </is>
      </c>
      <c r="C7" s="9" t="inlineStr">
        <is>
          <t>Order list after transfer</t>
        </is>
      </c>
      <c r="D7" s="9" t="inlineStr">
        <is>
          <t>Old orders of C still visible to A as history; new ones not</t>
        </is>
      </c>
      <c r="E7" s="9" t="inlineStr">
        <is>
          <t>Not Run</t>
        </is>
      </c>
      <c r="F7" s="9" t="inlineStr"/>
      <c r="G7" s="9" t="inlineStr"/>
      <c r="H7" s="9" t="inlineStr"/>
    </row>
    <row r="8">
      <c r="A8" s="9" t="inlineStr">
        <is>
          <t>AF-296</t>
        </is>
      </c>
      <c r="B8" s="9" t="inlineStr">
        <is>
          <t>P1</t>
        </is>
      </c>
      <c r="C8" s="9" t="inlineStr">
        <is>
          <t>Commission list filters (status, order, customer, referral code, date)</t>
        </is>
      </c>
      <c r="D8" s="9" t="inlineStr">
        <is>
          <t>Correct; empty-state</t>
        </is>
      </c>
      <c r="E8" s="9" t="inlineStr">
        <is>
          <t>Not Run</t>
        </is>
      </c>
      <c r="F8" s="9" t="inlineStr"/>
      <c r="G8" s="9" t="inlineStr"/>
      <c r="H8" s="9" t="inlineStr"/>
    </row>
    <row r="9">
      <c r="A9" s="9" t="inlineStr">
        <is>
          <t>AF-297</t>
        </is>
      </c>
      <c r="B9" s="9" t="inlineStr">
        <is>
          <t>P1</t>
        </is>
      </c>
      <c r="C9" s="9" t="inlineStr">
        <is>
          <t>Commission row shows: order, product, base, %, amount, status, return-period end</t>
        </is>
      </c>
      <c r="D9" s="9" t="inlineStr">
        <is>
          <t>Accurate; reversed shows reason</t>
        </is>
      </c>
      <c r="E9" s="9" t="inlineStr">
        <is>
          <t>Not Run</t>
        </is>
      </c>
      <c r="F9" s="9" t="inlineStr"/>
      <c r="G9" s="9" t="inlineStr"/>
      <c r="H9" s="9" t="inlineStr"/>
    </row>
    <row r="10">
      <c r="A10" s="9" t="inlineStr">
        <is>
          <t>AF-298</t>
        </is>
      </c>
      <c r="B10" s="9" t="inlineStr">
        <is>
          <t>P1</t>
        </is>
      </c>
      <c r="C10" s="9" t="inlineStr">
        <is>
          <t>Timezone: delivered at 23:59 IST / UTC boundary</t>
        </is>
      </c>
      <c r="D10" s="9" t="inlineStr">
        <is>
          <t>Return end date consistent in UI and DB</t>
        </is>
      </c>
      <c r="E10" s="9" t="inlineStr">
        <is>
          <t>Not Run</t>
        </is>
      </c>
      <c r="F10" s="9" t="inlineStr"/>
      <c r="G10" s="9" t="inlineStr"/>
      <c r="H10" s="9" t="inlineStr"/>
    </row>
    <row r="11">
      <c r="A11" s="9" t="inlineStr">
        <is>
          <t>AF-299</t>
        </is>
      </c>
      <c r="B11" s="9" t="inlineStr">
        <is>
          <t>P2</t>
        </is>
      </c>
      <c r="C11" s="9" t="inlineStr">
        <is>
          <t>Currency formatting, large numbers (₹1,00,00,000.50)</t>
        </is>
      </c>
      <c r="D11" s="9" t="inlineStr">
        <is>
          <t>No overflow</t>
        </is>
      </c>
      <c r="E11" s="9" t="inlineStr">
        <is>
          <t>Not Run</t>
        </is>
      </c>
      <c r="F11" s="9" t="inlineStr"/>
      <c r="G11" s="9" t="inlineStr"/>
      <c r="H11" s="9" t="inlineStr"/>
    </row>
    <row r="12">
      <c r="A12" s="9" t="inlineStr">
        <is>
          <t>AF-300</t>
        </is>
      </c>
      <c r="B12" s="9" t="inlineStr">
        <is>
          <t>P2</t>
        </is>
      </c>
      <c r="C12" s="9" t="inlineStr">
        <is>
          <t>Mobile/tablet layouts (375 / 768 / 1280) for all agent pages</t>
        </is>
      </c>
      <c r="D12" s="9" t="inlineStr">
        <is>
          <t>No horizontal page scroll, 44px tap targets</t>
        </is>
      </c>
      <c r="E12" s="9" t="inlineStr">
        <is>
          <t>Not Run</t>
        </is>
      </c>
      <c r="F12" s="9" t="inlineStr"/>
      <c r="G12" s="9" t="inlineStr"/>
      <c r="H12" s="9" t="inlineStr"/>
    </row>
    <row r="13">
      <c r="A13" s="9" t="inlineStr">
        <is>
          <t>AF-301</t>
        </is>
      </c>
      <c r="B13" s="9" t="inlineStr">
        <is>
          <t>P2</t>
        </is>
      </c>
      <c r="C13" s="9" t="inlineStr">
        <is>
          <t>Loading skeletons &amp; error banners on API failure</t>
        </is>
      </c>
      <c r="D13" s="9" t="inlineStr">
        <is>
          <t>Shown, retry works</t>
        </is>
      </c>
      <c r="E13" s="9" t="inlineStr">
        <is>
          <t>Not Run</t>
        </is>
      </c>
      <c r="F13" s="9" t="inlineStr"/>
      <c r="G13" s="9" t="inlineStr"/>
      <c r="H13" s="9" t="inlineStr"/>
    </row>
  </sheetData>
  <autoFilter ref="A1:H13"/>
  <conditionalFormatting sqref="E2:E1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</conditionalFormatting>
  <dataValidations count="1">
    <dataValidation sqref="E2:E13" showDropDown="0" showInputMessage="0" showErrorMessage="0" allowBlank="1" type="list">
      <formula1>"Not Run,Pass,Fail,Blocked,N/A"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8" customWidth="1" min="2" max="2"/>
    <col width="11" customWidth="1" min="3" max="3"/>
    <col width="12" customWidth="1" min="4" max="4"/>
    <col width="12" customWidth="1" min="5" max="5"/>
    <col width="28" customWidth="1" min="6" max="6"/>
  </cols>
  <sheetData>
    <row r="1">
      <c r="A1" s="8" t="inlineStr">
        <is>
          <t>ID</t>
        </is>
      </c>
      <c r="B1" s="8" t="inlineStr">
        <is>
          <t>Journey</t>
        </is>
      </c>
      <c r="C1" s="8" t="inlineStr">
        <is>
          <t>Status</t>
        </is>
      </c>
      <c r="D1" s="8" t="inlineStr">
        <is>
          <t>Tester</t>
        </is>
      </c>
      <c r="E1" s="8" t="inlineStr">
        <is>
          <t>Date</t>
        </is>
      </c>
      <c r="F1" s="8" t="inlineStr">
        <is>
          <t>Remarks</t>
        </is>
      </c>
    </row>
    <row r="2">
      <c r="A2" s="9" t="inlineStr">
        <is>
          <t>AF-E1</t>
        </is>
      </c>
      <c r="B2" s="9" t="inlineStr">
        <is>
          <t>Admin creates agent A + rate (category 5%) → A completes profile (UPI) → A shares link → customer C registers via link → C orders (COD) → admin ships → delivers → wait return period → A sees approved → A requests UPI payout → admin approves → marks paid with reference → A sees Paid. Verify every status, audit row, and totals at each step.</t>
        </is>
      </c>
      <c r="C2" s="9" t="inlineStr">
        <is>
          <t>Not Run</t>
        </is>
      </c>
      <c r="D2" s="9" t="inlineStr"/>
      <c r="E2" s="9" t="inlineStr"/>
      <c r="F2" s="9" t="inlineStr"/>
    </row>
    <row r="3">
      <c r="A3" s="9" t="inlineStr">
        <is>
          <t>AF-E2</t>
        </is>
      </c>
      <c r="B3" s="9" t="inlineStr">
        <is>
          <t>Same as E1 but C returns one item after delivery within period → commission reversed for that item only → payout amount smaller.</t>
        </is>
      </c>
      <c r="C3" s="9" t="inlineStr">
        <is>
          <t>Not Run</t>
        </is>
      </c>
      <c r="D3" s="9" t="inlineStr"/>
      <c r="E3" s="9" t="inlineStr"/>
      <c r="F3" s="9" t="inlineStr"/>
    </row>
    <row r="4">
      <c r="A4" s="9" t="inlineStr">
        <is>
          <t>AF-E3</t>
        </is>
      </c>
      <c r="B4" s="9" t="inlineStr">
        <is>
          <t>E1 but return happens after payout paid → clawback_due visible to admin.</t>
        </is>
      </c>
      <c r="C4" s="9" t="inlineStr">
        <is>
          <t>Not Run</t>
        </is>
      </c>
      <c r="D4" s="9" t="inlineStr"/>
      <c r="E4" s="9" t="inlineStr"/>
      <c r="F4" s="9" t="inlineStr"/>
    </row>
    <row r="5">
      <c r="A5" s="9" t="inlineStr">
        <is>
          <t>AF-E4</t>
        </is>
      </c>
      <c r="B5" s="9" t="inlineStr">
        <is>
          <t>C (with A) → admin transfers to B → C orders → B earns; A's old order delivered later still pays A.</t>
        </is>
      </c>
      <c r="C5" s="9" t="inlineStr">
        <is>
          <t>Not Run</t>
        </is>
      </c>
      <c r="D5" s="9" t="inlineStr"/>
      <c r="E5" s="9" t="inlineStr"/>
      <c r="F5" s="9" t="inlineStr"/>
    </row>
    <row r="6">
      <c r="A6" s="9" t="inlineStr">
        <is>
          <t>AF-E5</t>
        </is>
      </c>
      <c r="B6" s="9" t="inlineStr">
        <is>
          <t>A places order for C (COD) and for walk-in W → both delivered → commissions for both → payout includes both.</t>
        </is>
      </c>
      <c r="C6" s="9" t="inlineStr">
        <is>
          <t>Not Run</t>
        </is>
      </c>
      <c r="D6" s="9" t="inlineStr"/>
      <c r="E6" s="9" t="inlineStr"/>
      <c r="F6" s="9" t="inlineStr"/>
    </row>
    <row r="7">
      <c r="A7" s="9" t="inlineStr">
        <is>
          <t>AF-E6</t>
        </is>
      </c>
      <c r="B7" s="9" t="inlineStr">
        <is>
          <t>A buys for self (Agent Own) → delivered → commission earned → appears under Agent Own tab, not Customer Orders.</t>
        </is>
      </c>
      <c r="C7" s="9" t="inlineStr">
        <is>
          <t>Not Run</t>
        </is>
      </c>
      <c r="D7" s="9" t="inlineStr"/>
      <c r="E7" s="9" t="inlineStr"/>
      <c r="F7" s="9" t="inlineStr"/>
    </row>
    <row r="8">
      <c r="A8" s="9" t="inlineStr">
        <is>
          <t>AF-E7</t>
        </is>
      </c>
      <c r="B8" s="9" t="inlineStr">
        <is>
          <t>Payout requested → order in it returned → payout recalculated → admin rejects remaining → agent re-requests → paid.</t>
        </is>
      </c>
      <c r="C8" s="9" t="inlineStr">
        <is>
          <t>Not Run</t>
        </is>
      </c>
      <c r="D8" s="9" t="inlineStr"/>
      <c r="E8" s="9" t="inlineStr"/>
      <c r="F8" s="9" t="inlineStr"/>
    </row>
    <row r="9">
      <c r="A9" s="9" t="inlineStr">
        <is>
          <t>AF-E8</t>
        </is>
      </c>
      <c r="B9" s="9" t="inlineStr">
        <is>
          <t>Agent deactivated with pending commissions → customer orders (no credit) → admin reactivates → pending commissions still approve &amp; pay.</t>
        </is>
      </c>
      <c r="C9" s="9" t="inlineStr">
        <is>
          <t>Not Run</t>
        </is>
      </c>
      <c r="D9" s="9" t="inlineStr"/>
      <c r="E9" s="9" t="inlineStr"/>
      <c r="F9" s="9" t="inlineStr"/>
    </row>
    <row r="10">
      <c r="A10" s="9" t="inlineStr">
        <is>
          <t>AF-E9</t>
        </is>
      </c>
      <c r="B10" s="9" t="inlineStr">
        <is>
          <t>Two agents, shared catalog, concurrent stock contention + concurrent payout approvals (data integrity).</t>
        </is>
      </c>
      <c r="C10" s="9" t="inlineStr">
        <is>
          <t>Not Run</t>
        </is>
      </c>
      <c r="D10" s="9" t="inlineStr"/>
      <c r="E10" s="9" t="inlineStr"/>
      <c r="F10" s="9" t="inlineStr"/>
    </row>
  </sheetData>
  <autoFilter ref="A1:F10"/>
  <conditionalFormatting sqref="C2:C10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</conditionalFormatting>
  <dataValidations count="1">
    <dataValidation sqref="C2:C10" showDropDown="0" showInputMessage="0" showErrorMessage="0" allowBlank="1" type="list">
      <formula1>"Not Run,Pass,Fail,Blocked,N/A"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48" customWidth="1" min="3" max="3"/>
    <col width="48" customWidth="1" min="4" max="4"/>
  </cols>
  <sheetData>
    <row r="1">
      <c r="A1" s="8" t="inlineStr">
        <is>
          <t>#</t>
        </is>
      </c>
      <c r="B1" s="8" t="inlineStr">
        <is>
          <t>Observation</t>
        </is>
      </c>
      <c r="C1" s="8" t="inlineStr">
        <is>
          <t>Why it matters</t>
        </is>
      </c>
      <c r="D1" s="8" t="inlineStr">
        <is>
          <t>Suggested test</t>
        </is>
      </c>
    </row>
    <row r="2">
      <c r="A2" s="9" t="inlineStr">
        <is>
          <t>D1</t>
        </is>
      </c>
      <c r="B2" s="9" t="inlineStr">
        <is>
          <t>docs/test-cases/10 and memory note say "last referral cookie wins, per-order attribution" and "agent buying earns nothing". Code now: customer keeps first agent (R1) and agent-own orders earn commission.</t>
        </is>
      </c>
      <c r="C2" s="9" t="inlineStr">
        <is>
          <t>Old test cases will fail / mislead</t>
        </is>
      </c>
      <c r="D2" s="9" t="inlineStr">
        <is>
          <t>Re-baseline docs; AF-024, AF-028</t>
        </is>
      </c>
    </row>
    <row r="3">
      <c r="A3" s="9" t="inlineStr">
        <is>
          <t>D2</t>
        </is>
      </c>
      <c r="B3" s="9" t="inlineStr">
        <is>
          <t>Deactivated agent leaves customers orphaned: order gets no agent, referral code of a new agent can't fill the slot.</t>
        </is>
      </c>
      <c r="C3" s="9" t="inlineStr">
        <is>
          <t>Lost commission/ownership silently</t>
        </is>
      </c>
      <c r="D3" s="9" t="inlineStr">
        <is>
          <t>AF-029</t>
        </is>
      </c>
    </row>
    <row r="4">
      <c r="A4" s="9" t="inlineStr">
        <is>
          <t>D3</t>
        </is>
      </c>
      <c r="B4" s="9" t="inlineStr">
        <is>
          <t>placeOrder does not itself check agent is active</t>
        </is>
      </c>
      <c r="C4" s="9" t="inlineStr">
        <is>
          <t>Relies on auth layer</t>
        </is>
      </c>
      <c r="D4" s="9" t="inlineStr">
        <is>
          <t>AF-137, AF-277</t>
        </is>
      </c>
    </row>
    <row r="5">
      <c r="A5" s="9" t="inlineStr">
        <is>
          <t>D4</t>
        </is>
      </c>
      <c r="B5" s="9" t="inlineStr">
        <is>
          <t>Commission created at order creation, before online payment succeeds</t>
        </is>
      </c>
      <c r="C5" s="9" t="inlineStr">
        <is>
          <t>Orphan pending commission if payment fails</t>
        </is>
      </c>
      <c r="D5" s="9" t="inlineStr">
        <is>
          <t>AF-155</t>
        </is>
      </c>
    </row>
    <row r="6">
      <c r="A6" s="9" t="inlineStr">
        <is>
          <t>D5</t>
        </is>
      </c>
      <c r="B6" s="9" t="inlineStr">
        <is>
          <t>approveEligible takes 500 per call and is lazy</t>
        </is>
      </c>
      <c r="C6" s="9" t="inlineStr">
        <is>
          <t>Backlog may need several triggers</t>
        </is>
      </c>
      <c r="D6" s="9" t="inlineStr">
        <is>
          <t>AF-169</t>
        </is>
      </c>
    </row>
    <row r="7">
      <c r="A7" s="9" t="inlineStr">
        <is>
          <t>D6</t>
        </is>
      </c>
      <c r="B7" s="9" t="inlineStr">
        <is>
          <t>Transfer without fromAgentRef skips stale-screen protection</t>
        </is>
      </c>
      <c r="C7" s="9" t="inlineStr">
        <is>
          <t>Admin API misuse overwrites</t>
        </is>
      </c>
      <c r="D7" s="9" t="inlineStr">
        <is>
          <t>AF-051</t>
        </is>
      </c>
    </row>
    <row r="8">
      <c r="A8" s="9" t="inlineStr">
        <is>
          <t>D7</t>
        </is>
      </c>
      <c r="B8" s="9" t="inlineStr">
        <is>
          <t>Agent-placed orders hard-coded COD/pending</t>
        </is>
      </c>
      <c r="C8" s="9" t="inlineStr">
        <is>
          <t>No online-pay option; payment collection tracking?</t>
        </is>
      </c>
      <c r="D8" s="9" t="inlineStr">
        <is>
          <t>AF-080, confirm requirement</t>
        </is>
      </c>
    </row>
    <row r="9">
      <c r="A9" s="9" t="inlineStr">
        <is>
          <t>D8</t>
        </is>
      </c>
      <c r="B9" s="9" t="inlineStr">
        <is>
          <t>Partial-qty returns: whole item commission vs proportional</t>
        </is>
      </c>
      <c r="C9" s="9" t="inlineStr">
        <is>
          <t>Over/under-paying agents</t>
        </is>
      </c>
      <c r="D9" s="9" t="inlineStr">
        <is>
          <t>AF-175</t>
        </is>
      </c>
    </row>
    <row r="10">
      <c r="A10" s="9" t="inlineStr">
        <is>
          <t>D9</t>
        </is>
      </c>
      <c r="B10" s="9" t="inlineStr">
        <is>
          <t>No minimum payout / no KYC gating in requestPayout</t>
        </is>
      </c>
      <c r="C10" s="9" t="inlineStr">
        <is>
          <t>Possible policy gap</t>
        </is>
      </c>
      <c r="D10" s="9" t="inlineStr">
        <is>
          <t>AF-217, AF-238</t>
        </is>
      </c>
    </row>
    <row r="11">
      <c r="A11" s="9" t="inlineStr">
        <is>
          <t>D10</t>
        </is>
      </c>
      <c r="B11" s="9" t="inlineStr">
        <is>
          <t>resolveAgentRef doesn't filter deleted/inactive agents (callers do)</t>
        </is>
      </c>
      <c r="C11" s="9" t="inlineStr">
        <is>
          <t>Filters on deleted agent may still resolve</t>
        </is>
      </c>
      <c r="D11" s="9" t="inlineStr">
        <is>
          <t>AF-249/AF-047</t>
        </is>
      </c>
    </row>
    <row r="12">
      <c r="A12" s="9" t="inlineStr">
        <is>
          <t>D11</t>
        </is>
      </c>
      <c r="B12" s="9" t="inlineStr">
        <is>
          <t>Walk-in orders store userId = agent and commission customer_id = agent</t>
        </is>
      </c>
      <c r="C12" s="9" t="inlineStr">
        <is>
          <t>Reports/“Customers” counts may misattribute</t>
        </is>
      </c>
      <c r="D12" s="9" t="inlineStr">
        <is>
          <t>AF-099, AF-154</t>
        </is>
      </c>
    </row>
    <row r="13">
      <c r="A13" s="9" t="inlineStr">
        <is>
          <t>D12</t>
        </is>
      </c>
      <c r="B13" s="9" t="inlineStr">
        <is>
          <t>Return window vs return period (default 3 days)</t>
        </is>
      </c>
      <c r="C13" s="9" t="inlineStr">
        <is>
          <t>Approved commission on still-returnable order → clawback</t>
        </is>
      </c>
      <c r="D13" s="9" t="inlineStr">
        <is>
          <t>AF-185</t>
        </is>
      </c>
    </row>
  </sheetData>
  <autoFilter ref="A1:D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2026-10-07T07:56:17Z</dcterms:created>
  <dcterms:modified xmlns:dcterms="http://purl.org/dc/terms/" xmlns:xsi="http://www.w3.org/2001/XMLSchema-instance" xsi:type="dcterms:W3CDTF">2026-10-07T07:56:17Z</dcterms:modified>
</cp:coreProperties>
</file>